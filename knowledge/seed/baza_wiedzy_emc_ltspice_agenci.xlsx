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43d96f73ae4d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8afbf3bed7564542"/>
    <x:sheet xmlns:r="http://schemas.openxmlformats.org/officeDocument/2006/relationships" name="Sources" sheetId="2" r:id="Rfacfeb0a64fc4bdd"/>
    <x:sheet xmlns:r="http://schemas.openxmlformats.org/officeDocument/2006/relationships" name="Rules of thumb" sheetId="3" r:id="R96ff9a340e384420"/>
    <x:sheet xmlns:r="http://schemas.openxmlformats.org/officeDocument/2006/relationships" name="Agent taxonomy" sheetId="4" r:id="R43c445165a7d4eee"/>
    <x:sheet xmlns:r="http://schemas.openxmlformats.org/officeDocument/2006/relationships" name="Standards guardrails" sheetId="5" r:id="Re781a102c0844053"/>
    <x:sheet xmlns:r="http://schemas.openxmlformats.org/officeDocument/2006/relationships" name="Coverage" sheetId="6" r:id="R4db4d823c67746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/>
    <x:xf numFmtId="0" fontId="1" fillId="2" borderId="1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2ad94252b94335" /><Relationship Type="http://schemas.openxmlformats.org/officeDocument/2006/relationships/theme" Target="/xl/theme/theme1.xml" Id="R73bfac92357244bd" /><Relationship Type="http://schemas.openxmlformats.org/officeDocument/2006/relationships/sharedStrings" Target="/xl/sharedStrings.xml" Id="Re1e80d3fb201446f" /><Relationship Type="http://schemas.openxmlformats.org/officeDocument/2006/relationships/worksheet" Target="/xl/worksheets/sheet1.xml" Id="R8afbf3bed7564542" /><Relationship Type="http://schemas.openxmlformats.org/officeDocument/2006/relationships/worksheet" Target="/xl/worksheets/sheet2.xml" Id="Rfacfeb0a64fc4bdd" /><Relationship Type="http://schemas.openxmlformats.org/officeDocument/2006/relationships/worksheet" Target="/xl/worksheets/sheet3.xml" Id="R96ff9a340e384420" /><Relationship Type="http://schemas.openxmlformats.org/officeDocument/2006/relationships/worksheet" Target="/xl/worksheets/sheet4.xml" Id="R43c445165a7d4eee" /><Relationship Type="http://schemas.openxmlformats.org/officeDocument/2006/relationships/worksheet" Target="/xl/worksheets/sheet5.xml" Id="Re781a102c0844053" /><Relationship Type="http://schemas.openxmlformats.org/officeDocument/2006/relationships/worksheet" Target="/xl/worksheets/sheet6.xml" Id="R4db4d823c6774615" /></Relationships>
</file>

<file path=xl/tables/table1.xml><?xml version="1.0" encoding="utf-8"?>
<x:table xmlns:x="http://schemas.openxmlformats.org/spreadsheetml/2006/main" id="1" name="SourcesTable" displayName="SourcesTable" ref="A1:L71" headerRowCount="1">
  <x:tableColumns count="12">
    <x:tableColumn id="1" name="ID"/>
    <x:tableColumn id="2" name="Obszar"/>
    <x:tableColumn id="3" name="Podobszar"/>
    <x:tableColumn id="4" name="Tytuł"/>
    <x:tableColumn id="5" name="Organizacja"/>
    <x:tableColumn id="6" name="Typ"/>
    <x:tableColumn id="7" name="Rok/aktualizacja"/>
    <x:tableColumn id="8" name="URL"/>
    <x:tableColumn id="9" name="Priorytet 1-5"/>
    <x:tableColumn id="10" name="Jak wykorzystać w agencie"/>
    <x:tableColumn id="11" name="Tagi"/>
    <x:tableColumn id="12" name="Uwagi/licencja"/>
  </x:tableColumns>
  <x:tableStyleInfo name="TableStyleMedium2" showRowStripes="1"/>
</x:table>
</file>

<file path=xl/tables/table2.xml><?xml version="1.0" encoding="utf-8"?>
<x:table xmlns:x="http://schemas.openxmlformats.org/spreadsheetml/2006/main" id="2" name="RulesofthumbTable" displayName="RulesofthumbTable" ref="A1:F21" headerRowCount="1">
  <x:tableColumns count="6">
    <x:tableColumn id="1" name="Rule ID"/>
    <x:tableColumn id="2" name="Obszar"/>
    <x:tableColumn id="3" name="Reguła praktyczna"/>
    <x:tableColumn id="4" name="Uzasadnienie"/>
    <x:tableColumn id="5" name="Źródła"/>
    <x:tableColumn id="6" name="Akcja agenta"/>
  </x:tableColumns>
  <x:tableStyleInfo name="TableStyleMedium2" showRowStripes="1"/>
</x:table>
</file>

<file path=xl/tables/table3.xml><?xml version="1.0" encoding="utf-8"?>
<x:table xmlns:x="http://schemas.openxmlformats.org/spreadsheetml/2006/main" id="3" name="AgenttaxonomyTable" displayName="AgenttaxonomyTable" ref="A1:E11" headerRowCount="1">
  <x:tableColumns count="5">
    <x:tableColumn id="1" name="Intent / agent mode"/>
    <x:tableColumn id="2" name="Wymagane wejścia"/>
    <x:tableColumn id="3" name="Filtry retrieval"/>
    <x:tableColumn id="4" name="Wzorzec odpowiedzi"/>
    <x:tableColumn id="5" name="Guardrails"/>
  </x:tableColumns>
  <x:tableStyleInfo name="TableStyleMedium2" showRowStripes="1"/>
</x:table>
</file>

<file path=xl/tables/table4.xml><?xml version="1.0" encoding="utf-8"?>
<x:table xmlns:x="http://schemas.openxmlformats.org/spreadsheetml/2006/main" id="4" name="StandardsguardrailsTable" displayName="StandardsguardrailsTable" ref="A1:D6" headerRowCount="1">
  <x:tableColumns count="4">
    <x:tableColumn id="1" name="Norma/obszar"/>
    <x:tableColumn id="2" name="Zakres"/>
    <x:tableColumn id="3" name="Dostępność"/>
    <x:tableColumn id="4" name="Guardrail dla agenta"/>
  </x:tableColumns>
  <x:tableStyleInfo name="TableStyleMedium2" showRowStripes="1"/>
</x:table>
</file>

<file path=xl/tables/table5.xml><?xml version="1.0" encoding="utf-8"?>
<x:table xmlns:x="http://schemas.openxmlformats.org/spreadsheetml/2006/main" id="5" name="CoverageTable" displayName="CoverageTable" ref="A1:D20" headerRowCount="1">
  <x:tableColumns count="4">
    <x:tableColumn id="1" name="Obszar"/>
    <x:tableColumn id="2" name="Liczba źródeł"/>
    <x:tableColumn id="3" name="Priorytet średni"/>
    <x:tableColumn id="4" name="Komentarz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9d70e4bf7264c3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7e89aad7e434c7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6280fbc554a482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207920b769644b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3cf68acb33f4f4b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5" hidden="0" customWidth="1"/>
  </x:cols>
  <x:sheetData>
    <x:row r="1">
      <x:c r="A1" s="7" t="str">
        <x:v>Nazwa</x:v>
      </x:c>
      <x:c r="B1" s="12" t="str">
        <x:v>Baza wiedzy EMC/LTspice dla agentów - źródła publiczne</x:v>
      </x:c>
    </x:row>
    <x:row r="2">
      <x:c r="A2" s="8" t="str">
        <x:v>Data utworzenia</x:v>
      </x:c>
      <x:c r="B2" s="13" t="str">
        <x:v>2026-05-13</x:v>
      </x:c>
    </x:row>
    <x:row r="3">
      <x:c r="A3" s="8" t="str">
        <x:v>Cel</x:v>
      </x:c>
      <x:c r="B3" s="13" t="str">
        <x:v>Indeks publicznych materiałów do budowy agentów pomagających w pre-compliance EMC, szczególnie conducted EMI, LTspice, filtry, stack-up, decoupling, szybkie interfejsy, AC/DC i DFM PCB.</x:v>
      </x:c>
    </x:row>
    <x:row r="4">
      <x:c r="A4" s="8" t="str">
        <x:v>Zakres</x:v>
      </x:c>
      <x:c r="B4" s="13" t="str">
        <x:v>Najpierw conducted EMI i symulacje LTspice; radiated jako późniejszy etap. Zawiera źródła, reguły praktyczne, mapę intencji agentów i zastrzeżenia dot. norm.</x:v>
      </x:c>
    </x:row>
    <x:row r="5">
      <x:c r="A5" s="8" t="str">
        <x:v>Uwagi prawne</x:v>
      </x:c>
      <x:c r="B5" s="13" t="str">
        <x:v>Źródła są publicznie dostępne, ale materiały producentów mają prawa autorskie i warunki użycia. Do RAG indeksuj streszczenia/wyciągi zgodnie z prawem; nie dystrybuuj pełnych kopii bez zgody.</x:v>
      </x:c>
    </x:row>
    <x:row r="6">
      <x:c r="A6" s="8" t="str">
        <x:v>Uwaga o normach</x:v>
      </x:c>
      <x:c r="B6" s="13" t="str">
        <x:v>Normy CISPR/IEC/IPC są zwykle płatne. Agent powinien odwoływać się do legalnie dostarczonych limitów użytkownika lub do publicznych omówień bez kopiowania tabel norm.</x:v>
      </x:c>
    </x:row>
    <x:row r="7">
      <x:c r="A7" s="8" t="str">
        <x:v>Rekomendowany pierwszy agent</x:v>
      </x:c>
      <x:c r="B7" s="13" t="str">
        <x:v>LTspice Conducted EMI Assistant: generator LISN + CM/DM + modele pasożytnicze + sweep filtrów + raport pre-compliance.</x:v>
      </x:c>
    </x:row>
    <x:row r="8">
      <x:c r="A8" s="8"/>
      <x:c r="B8" s="13"/>
    </x:row>
    <x:row r="9">
      <x:c r="A9" s="8"/>
      <x:c r="B9" s="13"/>
    </x:row>
    <x:row r="10">
      <x:c r="A10" s="8"/>
      <x:c r="B10" s="13"/>
    </x:row>
    <x:row r="11">
      <x:c r="A11" s="8"/>
      <x:c r="B11" s="13"/>
    </x:row>
    <x:row r="12">
      <x:c r="A12" s="8"/>
      <x:c r="B12" s="13"/>
    </x:row>
    <x:row r="13">
      <x:c r="A13" s="8"/>
      <x:c r="B13" s="13"/>
    </x:row>
    <x:row r="14">
      <x:c r="A14" s="8"/>
      <x:c r="B14" s="13"/>
    </x:row>
    <x:row r="15">
      <x:c r="A15" s="8"/>
      <x:c r="B15" s="13"/>
    </x:row>
    <x:row r="16">
      <x:c r="A16" s="8"/>
      <x:c r="B16" s="13"/>
    </x:row>
    <x:row r="17">
      <x:c r="A17" s="8"/>
      <x:c r="B17" s="13"/>
    </x:row>
    <x:row r="18">
      <x:c r="A18" s="8"/>
      <x:c r="B18" s="13"/>
    </x:row>
    <x:row r="19">
      <x:c r="A19" s="8"/>
      <x:c r="B19" s="13"/>
    </x:row>
    <x:row r="20">
      <x:c r="A20" s="8"/>
      <x:c r="B20" s="1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28" hidden="0" customWidth="1"/>
    <x:col min="4" max="4" width="48" hidden="0" customWidth="1"/>
    <x:col min="5" max="5" width="20" hidden="0" customWidth="1"/>
    <x:col min="6" max="6" width="22" hidden="0" customWidth="1"/>
    <x:col min="7" max="7" width="16" hidden="0" customWidth="1"/>
    <x:col min="8" max="8" width="55" hidden="0" customWidth="1"/>
    <x:col min="9" max="9" width="12" hidden="0" customWidth="1"/>
    <x:col min="10" max="10" width="55" hidden="0" customWidth="1"/>
    <x:col min="11" max="11" width="35" hidden="0" customWidth="1"/>
    <x:col min="12" max="12" width="35" hidden="0" customWidth="1"/>
  </x:cols>
  <x:sheetData>
    <x:row r="1" ht="28" customHeight="1">
      <x:c r="A1" s="17" t="str">
        <x:v>ID</x:v>
      </x:c>
      <x:c r="B1" s="17" t="str">
        <x:v>Obszar</x:v>
      </x:c>
      <x:c r="C1" s="17" t="str">
        <x:v>Podobszar</x:v>
      </x:c>
      <x:c r="D1" s="17" t="str">
        <x:v>Tytuł</x:v>
      </x:c>
      <x:c r="E1" s="17" t="str">
        <x:v>Organizacja</x:v>
      </x:c>
      <x:c r="F1" s="17" t="str">
        <x:v>Typ</x:v>
      </x:c>
      <x:c r="G1" s="17" t="str">
        <x:v>Rok/aktualizacja</x:v>
      </x:c>
      <x:c r="H1" s="17" t="str">
        <x:v>URL</x:v>
      </x:c>
      <x:c r="I1" s="17" t="str">
        <x:v>Priorytet 1-5</x:v>
      </x:c>
      <x:c r="J1" s="17" t="str">
        <x:v>Jak wykorzystać w agencie</x:v>
      </x:c>
      <x:c r="K1" s="17" t="str">
        <x:v>Tagi</x:v>
      </x:c>
      <x:c r="L1" s="17" t="str">
        <x:v>Uwagi/licencja</x:v>
      </x:c>
    </x:row>
    <x:row r="2">
      <x:c r="A2" s="20" t="str">
        <x:v>SRC-001</x:v>
      </x:c>
      <x:c r="B2" s="20" t="str">
        <x:v>LTspice / workflow EMC</x:v>
      </x:c>
      <x:c r="C2" s="20" t="str">
        <x:v>conducted EMI, CM/DM, LISN</x:v>
      </x:c>
      <x:c r="D2" s="20" t="str">
        <x:v>How to Get the Best Results Using LTspice for EMC Simulation - Part 1</x:v>
      </x:c>
      <x:c r="E2" s="20" t="str">
        <x:v>Analog Devices</x:v>
      </x:c>
      <x:c r="F2" s="20" t="str">
        <x:v>Article + LTspice approach</x:v>
      </x:c>
      <x:c r="G2" s="20" t="str">
        <x:v>2021</x:v>
      </x:c>
      <x:c r="H2" s="20" t="str">
        <x:v>https://www.analog.com/en/resources/technical-articles/how-to-get-the-best-results-using-ltspice-part-1.html</x:v>
      </x:c>
      <x:c r="I2" s="20" t="n">
        <x:v>5</x:v>
      </x:c>
      <x:c r="J2" s="20" t="str">
        <x:v>Core reference for generating LTspice LISN testbenches, plotting CM/DM noise and pre-compliance limit lines.</x:v>
      </x:c>
      <x:c r="K2" s="20" t="str">
        <x:v>LTspice; LISN; conducted EMI; CM; DM; buck</x:v>
      </x:c>
      <x:c r="L2" s="20" t="str">
        <x:v>Public web page; use for RAG summaries, not wholesale copying.</x:v>
      </x:c>
    </x:row>
    <x:row r="3">
      <x:c r="A3" s="20" t="str">
        <x:v>SRC-002</x:v>
      </x:c>
      <x:c r="B3" s="20" t="str">
        <x:v>LTspice / workflow EMC</x:v>
      </x:c>
      <x:c r="C3" s="20" t="str">
        <x:v>signal integrity, fieldbus, USB, SPE</x:v>
      </x:c>
      <x:c r="D3" s="20" t="str">
        <x:v>Using LTspice for EMC and Signal Integrity - Part 2</x:v>
      </x:c>
      <x:c r="E3" s="20" t="str">
        <x:v>Analog Devices</x:v>
      </x:c>
      <x:c r="F3" s="20" t="str">
        <x:v>Article + models</x:v>
      </x:c>
      <x:c r="G3" s="20" t="str">
        <x:v>2023</x:v>
      </x:c>
      <x:c r="H3" s="20" t="str">
        <x:v>https://www.analog.com/en/resources/technical-articles/how-to-get-the-best-results-using-ltspice-for-emc-simulation-part-2.html</x:v>
      </x:c>
      <x:c r="I3" s="20" t="n">
        <x:v>5</x:v>
      </x:c>
      <x:c r="J3" s="20" t="str">
        <x:v>Use for agent workflows around wired interfaces, cable/interconnect effects and SPICE-compatible channel models.</x:v>
      </x:c>
      <x:c r="K3" s="20" t="str">
        <x:v>LTspice; SI; RS-485; RS-232; LVDS; USB; SPE</x:v>
      </x:c>
      <x:c r="L3" s="20" t="str">
        <x:v>Public web page.</x:v>
      </x:c>
    </x:row>
    <x:row r="4">
      <x:c r="A4" s="20" t="str">
        <x:v>SRC-003</x:v>
      </x:c>
      <x:c r="B4" s="20" t="str">
        <x:v>Conducted EMI</x:v>
      </x:c>
      <x:c r="C4" s="20" t="str">
        <x:v>CM/DM separation</x:v>
      </x:c>
      <x:c r="D4" s="20" t="str">
        <x:v>A Practical Method for Separating Common-Mode and Differential-Mode Emissions in Conducted Emissions Testing</x:v>
      </x:c>
      <x:c r="E4" s="20" t="str">
        <x:v>Analog Devices</x:v>
      </x:c>
      <x:c r="F4" s="20" t="str">
        <x:v>Article</x:v>
      </x:c>
      <x:c r="G4" s="20" t="str">
        <x:v>2024?</x:v>
      </x:c>
      <x:c r="H4" s="20" t="str">
        <x:v>https://www.analog.com/en/resources/analog-dialogue/articles/separating-common-mode-and-differential-mode-emissions-in-conducted-emissions-testing.html</x:v>
      </x:c>
      <x:c r="I4" s="20" t="n">
        <x:v>5</x:v>
      </x:c>
      <x:c r="J4" s="20" t="str">
        <x:v>Teach agent to classify noise as CM or DM and select filter topology accordingly.</x:v>
      </x:c>
      <x:c r="K4" s="20" t="str">
        <x:v>common-mode; differential-mode; conducted emissions; LISN</x:v>
      </x:c>
      <x:c r="L4" s="20" t="str">
        <x:v>Public web page.</x:v>
      </x:c>
    </x:row>
    <x:row r="5">
      <x:c r="A5" s="20" t="str">
        <x:v>SRC-004</x:v>
      </x:c>
      <x:c r="B5" s="20" t="str">
        <x:v>Conducted EMI</x:v>
      </x:c>
      <x:c r="C5" s="20" t="str">
        <x:v>SMPS filter design</x:v>
      </x:c>
      <x:c r="D5" s="20" t="str">
        <x:v>Speed Up the Design of EMI Filters for Switch-Mode Power Supplies</x:v>
      </x:c>
      <x:c r="E5" s="20" t="str">
        <x:v>Analog Devices</x:v>
      </x:c>
      <x:c r="F5" s="20" t="str">
        <x:v>Article</x:v>
      </x:c>
      <x:c r="G5" s="20" t="str">
        <x:v>2018?</x:v>
      </x:c>
      <x:c r="H5" s="20" t="str">
        <x:v>https://www.analog.com/en/resources/analog-dialogue/articles/speed-up-the-design-of-emi-filters-for-switch-mode-power-supplies.html</x:v>
      </x:c>
      <x:c r="I5" s="20" t="n">
        <x:v>5</x:v>
      </x:c>
      <x:c r="J5" s="20" t="str">
        <x:v>Use for filter-design reasoning and explaining why conducted EMI filter iteration is costly.</x:v>
      </x:c>
      <x:c r="K5" s="20" t="str">
        <x:v>SMPS; EMI filter; LTpowerCAD; CM; DM</x:v>
      </x:c>
      <x:c r="L5" s="20" t="str">
        <x:v>Public web page.</x:v>
      </x:c>
    </x:row>
    <x:row r="6">
      <x:c r="A6" s="20" t="str">
        <x:v>SRC-005</x:v>
      </x:c>
      <x:c r="B6" s="20" t="str">
        <x:v>Conducted EMI</x:v>
      </x:c>
      <x:c r="C6" s="20" t="str">
        <x:v>CISPR 22-compliant power</x:v>
      </x:c>
      <x:c r="D6" s="20" t="str">
        <x:v>Mitigating EMI for a CISPR 22-Compliant Power Solution</x:v>
      </x:c>
      <x:c r="E6" s="20" t="str">
        <x:v>Analog Devices</x:v>
      </x:c>
      <x:c r="F6" s="20" t="str">
        <x:v>Article</x:v>
      </x:c>
      <x:c r="G6" s="20" t="str">
        <x:v>2018</x:v>
      </x:c>
      <x:c r="H6" s="20" t="str">
        <x:v>https://www.analog.com/en/resources/technical-articles/mitigating-emi-for-a-cispr-22compliant-power-solution.html</x:v>
      </x:c>
      <x:c r="I6" s="20" t="n">
        <x:v>4</x:v>
      </x:c>
      <x:c r="J6" s="20" t="str">
        <x:v>Good case material for selecting low-EMI components, filters, layout and shielding as a combined solution.</x:v>
      </x:c>
      <x:c r="K6" s="20" t="str">
        <x:v>CISPR 22; power; conducted EMI; layout</x:v>
      </x:c>
      <x:c r="L6" s="20" t="str">
        <x:v>Public web page.</x:v>
      </x:c>
    </x:row>
    <x:row r="7">
      <x:c r="A7" s="20" t="str">
        <x:v>SRC-006</x:v>
      </x:c>
      <x:c r="B7" s="20" t="str">
        <x:v>Schematics / rule of thumb</x:v>
      </x:c>
      <x:c r="C7" s="20" t="str">
        <x:v>input filters and stability</x:v>
      </x:c>
      <x:c r="D7" s="20" t="str">
        <x:v>Proper Layout and Component Selection Controls EMI</x:v>
      </x:c>
      <x:c r="E7" s="20" t="str">
        <x:v>Analog Devices</x:v>
      </x:c>
      <x:c r="F7" s="20" t="str">
        <x:v>Article</x:v>
      </x:c>
      <x:c r="G7" s="20" t="str">
        <x:v>2002</x:v>
      </x:c>
      <x:c r="H7" s="20" t="str">
        <x:v>https://www.analog.com/en/resources/technical-articles/proper-layout-and-component-selection-controls-emi.html</x:v>
      </x:c>
      <x:c r="I7" s="20" t="n">
        <x:v>4</x:v>
      </x:c>
      <x:c r="J7" s="20" t="str">
        <x:v>Use for rules about input impedance, inductors and bypassing in switchers; useful caution against brute-force capacitance.</x:v>
      </x:c>
      <x:c r="K7" s="20" t="str">
        <x:v>EMI; layout; input filter; regulator stability</x:v>
      </x:c>
      <x:c r="L7" s="20" t="str">
        <x:v>Public web page; older but still useful basics.</x:v>
      </x:c>
    </x:row>
    <x:row r="8">
      <x:c r="A8" s="20" t="str">
        <x:v>SRC-007</x:v>
      </x:c>
      <x:c r="B8" s="20" t="str">
        <x:v>Automotive power EMC</x:v>
      </x:c>
      <x:c r="C8" s="20" t="str">
        <x:v>supply filtering, radiated/conducted</x:v>
      </x:c>
      <x:c r="D8" s="20" t="str">
        <x:v>Layout Guidelines Maximize Automotive Power-Supply Performance and Minimize Emissions</x:v>
      </x:c>
      <x:c r="E8" s="20" t="str">
        <x:v>Analog Devices</x:v>
      </x:c>
      <x:c r="F8" s="20" t="str">
        <x:v>Design note</x:v>
      </x:c>
      <x:c r="G8" s="20" t="str">
        <x:v>2016?</x:v>
      </x:c>
      <x:c r="H8" s="20" t="str">
        <x:v>https://www.analog.com/en/resources/design-notes/layout-guidelines-maximize-automotive-powersupply-performance-and-minimize-emissions.html</x:v>
      </x:c>
      <x:c r="I8" s="20" t="n">
        <x:v>4</x:v>
      </x:c>
      <x:c r="J8" s="20" t="str">
        <x:v>Use for automotive-oriented heuristics: main-supply filters, ferrites/inductors, FM-band emissions.</x:v>
      </x:c>
      <x:c r="K8" s="20" t="str">
        <x:v>automotive; power supply; filter; radiated emissions</x:v>
      </x:c>
      <x:c r="L8" s="20" t="str">
        <x:v>Public web page.</x:v>
      </x:c>
    </x:row>
    <x:row r="9">
      <x:c r="A9" s="20" t="str">
        <x:v>SRC-008</x:v>
      </x:c>
      <x:c r="B9" s="20" t="str">
        <x:v>Radiated EMI / stack-up</x:v>
      </x:c>
      <x:c r="C9" s="20" t="str">
        <x:v>isolated supplies, PCB layout</x:v>
      </x:c>
      <x:c r="D9" s="20" t="str">
        <x:v>AN-1109: Recommendations for Control of Radiated Emissions with isoPower Devices</x:v>
      </x:c>
      <x:c r="E9" s="20" t="str">
        <x:v>Analog Devices</x:v>
      </x:c>
      <x:c r="F9" s="20" t="str">
        <x:v>Application note</x:v>
      </x:c>
      <x:c r="G9" s="20" t="str">
        <x:v>2012?</x:v>
      </x:c>
      <x:c r="H9" s="20" t="str">
        <x:v>https://www.analog.com/en/resources/app-notes/an-1109.html</x:v>
      </x:c>
      <x:c r="I9" s="20" t="n">
        <x:v>5</x:v>
      </x:c>
      <x:c r="J9" s="20" t="str">
        <x:v>Use later for radiated expansion: board layout, stack-up, stitching capacitance, edge guarding.</x:v>
      </x:c>
      <x:c r="K9" s="20" t="str">
        <x:v>radiated EMI; stack-up; stitching capacitance; isoPower</x:v>
      </x:c>
      <x:c r="L9" s="20" t="str">
        <x:v>Public web page.</x:v>
      </x:c>
    </x:row>
    <x:row r="10">
      <x:c r="A10" s="20" t="str">
        <x:v>SRC-009</x:v>
      </x:c>
      <x:c r="B10" s="20" t="str">
        <x:v>Stack-up / PDN</x:v>
      </x:c>
      <x:c r="C10" s="20" t="str">
        <x:v>interplane capacitance</x:v>
      </x:c>
      <x:c r="D10" s="20" t="str">
        <x:v>AN-0971: Recommendations for Control of Radiated Emissions with isoPower Devices</x:v>
      </x:c>
      <x:c r="E10" s="20" t="str">
        <x:v>Analog Devices</x:v>
      </x:c>
      <x:c r="F10" s="20" t="str">
        <x:v>Application note</x:v>
      </x:c>
      <x:c r="G10" s="20" t="str">
        <x:v>2009?</x:v>
      </x:c>
      <x:c r="H10" s="20" t="str">
        <x:v>https://www.analog.com/en/resources/app-notes/an-0971.html</x:v>
      </x:c>
      <x:c r="I10" s="20" t="n">
        <x:v>5</x:v>
      </x:c>
      <x:c r="J10" s="20" t="str">
        <x:v>Use for PDN/stack-up heuristics around close plane spacing and interplane capacitance.</x:v>
      </x:c>
      <x:c r="K10" s="20" t="str">
        <x:v>stack-up; interplane capacitance; PDN; radiated; conducted</x:v>
      </x:c>
      <x:c r="L10" s="20" t="str">
        <x:v>Public web page.</x:v>
      </x:c>
    </x:row>
    <x:row r="11">
      <x:c r="A11" s="20" t="str">
        <x:v>SRC-010</x:v>
      </x:c>
      <x:c r="B11" s="20" t="str">
        <x:v>Decoupling</x:v>
      </x:c>
      <x:c r="C11" s="20" t="str">
        <x:v>capacitor placement, ESL/ESR</x:v>
      </x:c>
      <x:c r="D11" s="20" t="str">
        <x:v>MT-101: Decoupling Techniques</x:v>
      </x:c>
      <x:c r="E11" s="20" t="str">
        <x:v>Analog Devices</x:v>
      </x:c>
      <x:c r="F11" s="20" t="str">
        <x:v>Tutorial PDF</x:v>
      </x:c>
      <x:c r="G11" s="20" t="str">
        <x:v>2009?</x:v>
      </x:c>
      <x:c r="H11" s="20" t="str">
        <x:v>https://www.analog.com/media/en/training-seminars/tutorials/MT-101.pdf</x:v>
      </x:c>
      <x:c r="I11" s="20" t="n">
        <x:v>5</x:v>
      </x:c>
      <x:c r="J11" s="20" t="str">
        <x:v>Core source for decoupling-capacitor selection, placement and ground-plane connection rules.</x:v>
      </x:c>
      <x:c r="K11" s="20" t="str">
        <x:v>decoupling; bypass; ESR; ESL; capacitors</x:v>
      </x:c>
      <x:c r="L11" s="20" t="str">
        <x:v>Public PDF; vendor copyright.</x:v>
      </x:c>
    </x:row>
    <x:row r="12">
      <x:c r="A12" s="20" t="str">
        <x:v>SRC-011</x:v>
      </x:c>
      <x:c r="B12" s="20" t="str">
        <x:v>Mixed-signal layout</x:v>
      </x:c>
      <x:c r="C12" s="20" t="str">
        <x:v>grounding, decoupling, ADC/DAC</x:v>
      </x:c>
      <x:c r="D12" s="20" t="str">
        <x:v>Basic Linear Design, Chapter 12: Printed Circuit Board Design Issues</x:v>
      </x:c>
      <x:c r="E12" s="20" t="str">
        <x:v>Analog Devices</x:v>
      </x:c>
      <x:c r="F12" s="20" t="str">
        <x:v>Handbook chapter PDF</x:v>
      </x:c>
      <x:c r="G12" s="20" t="str">
        <x:v>2007?</x:v>
      </x:c>
      <x:c r="H12" s="20" t="str">
        <x:v>https://www.analog.com/media/en/training-seminars/design-handbooks/Basic-Linear-Design/Chapter12.pdf</x:v>
      </x:c>
      <x:c r="I12" s="20" t="n">
        <x:v>4</x:v>
      </x:c>
      <x:c r="J12" s="20" t="str">
        <x:v>Use for mixed-signal PCB rules, grounding tradeoffs, converter decoupling and layout caveats.</x:v>
      </x:c>
      <x:c r="K12" s="20" t="str">
        <x:v>mixed-signal; grounding; decoupling; ADC; PCB layout</x:v>
      </x:c>
      <x:c r="L12" s="20" t="str">
        <x:v>Public PDF.</x:v>
      </x:c>
    </x:row>
    <x:row r="13">
      <x:c r="A13" s="20" t="str">
        <x:v>SRC-012</x:v>
      </x:c>
      <x:c r="B13" s="20" t="str">
        <x:v>Power layout</x:v>
      </x:c>
      <x:c r="C13" s="20" t="str">
        <x:v>parasitics, grounding, supply layout</x:v>
      </x:c>
      <x:c r="D13" s="20" t="str">
        <x:v>Practical Power Solutions, Section 4: Hardware Design Techniques</x:v>
      </x:c>
      <x:c r="E13" s="20" t="str">
        <x:v>Analog Devices</x:v>
      </x:c>
      <x:c r="F13" s="20" t="str">
        <x:v>Handbook section PDF</x:v>
      </x:c>
      <x:c r="G13" s="20" t="str">
        <x:v>2012?</x:v>
      </x:c>
      <x:c r="H13" s="20" t="str">
        <x:v>https://www.analog.com/media/en/training-seminars/design-handbooks/Practical-Power-Solutions/Section4.pdf</x:v>
      </x:c>
      <x:c r="I13" s="20" t="n">
        <x:v>4</x:v>
      </x:c>
      <x:c r="J13" s="20" t="str">
        <x:v>Use for practical parasitic effects: trace resistance, capacitance and power-supply grounding/layout.</x:v>
      </x:c>
      <x:c r="K13" s="20" t="str">
        <x:v>power layout; parasitics; trace resistance; grounding</x:v>
      </x:c>
      <x:c r="L13" s="20" t="str">
        <x:v>Public PDF.</x:v>
      </x:c>
    </x:row>
    <x:row r="14">
      <x:c r="A14" s="20" t="str">
        <x:v>SRC-013</x:v>
      </x:c>
      <x:c r="B14" s="20" t="str">
        <x:v>Parasitic modeling</x:v>
      </x:c>
      <x:c r="C14" s="20" t="str">
        <x:v>cable SPICE models</x:v>
      </x:c>
      <x:c r="D14" s="20" t="str">
        <x:v>An Improved and Simple Cable Simulation Model</x:v>
      </x:c>
      <x:c r="E14" s="20" t="str">
        <x:v>Analog Devices</x:v>
      </x:c>
      <x:c r="F14" s="20" t="str">
        <x:v>Article</x:v>
      </x:c>
      <x:c r="G14" s="20" t="str">
        <x:v>2012</x:v>
      </x:c>
      <x:c r="H14" s="20" t="str">
        <x:v>https://www.analog.com/en/resources/technical-articles/an-improved-and-simple-cable-simulation-model.html</x:v>
      </x:c>
      <x:c r="I14" s="20" t="n">
        <x:v>5</x:v>
      </x:c>
      <x:c r="J14" s="20" t="str">
        <x:v>Core source for modeling cables with skin effect and dielectric loss in SPICE-like tools.</x:v>
      </x:c>
      <x:c r="K14" s="20" t="str">
        <x:v>cable model; SPICE; skin effect; dielectric loss</x:v>
      </x:c>
      <x:c r="L14" s="20" t="str">
        <x:v>Public web page.</x:v>
      </x:c>
    </x:row>
    <x:row r="15">
      <x:c r="A15" s="20" t="str">
        <x:v>SRC-014</x:v>
      </x:c>
      <x:c r="B15" s="20" t="str">
        <x:v>Mixed-signal layout</x:v>
      </x:c>
      <x:c r="C15" s="20" t="str">
        <x:v>placement, board layering, ground plane</x:v>
      </x:c>
      <x:c r="D15" s="20" t="str">
        <x:v>What Are the Basic Guidelines for Layout Design of Mixed-Signal PCBs?</x:v>
      </x:c>
      <x:c r="E15" s="20" t="str">
        <x:v>Analog Devices</x:v>
      </x:c>
      <x:c r="F15" s="20" t="str">
        <x:v>Article</x:v>
      </x:c>
      <x:c r="G15" s="20" t="str">
        <x:v>2024?</x:v>
      </x:c>
      <x:c r="H15" s="20" t="str">
        <x:v>https://www.analog.com/en/resources/analog-dialogue/articles/what-are-the-basic-guidelines-for-layout-design-of-mixed-signal-pcbs.html</x:v>
      </x:c>
      <x:c r="I15" s="20" t="n">
        <x:v>4</x:v>
      </x:c>
      <x:c r="J15" s="20" t="str">
        <x:v>Use for agent schematic/layout review checklists for mixed analog-digital boards.</x:v>
      </x:c>
      <x:c r="K15" s="20" t="str">
        <x:v>mixed-signal; placement; ground plane; layering</x:v>
      </x:c>
      <x:c r="L15" s="20" t="str">
        <x:v>Public web page.</x:v>
      </x:c>
    </x:row>
    <x:row r="16">
      <x:c r="A16" s="20" t="str">
        <x:v>SRC-015</x:v>
      </x:c>
      <x:c r="B16" s="20" t="str">
        <x:v>RF/mixed-signal layout</x:v>
      </x:c>
      <x:c r="C16" s="20" t="str">
        <x:v>bypass capacitor layout</x:v>
      </x:c>
      <x:c r="D16" s="20" t="str">
        <x:v>PCB Layout Guidelines for RF &amp; Mixed-Signal</x:v>
      </x:c>
      <x:c r="E16" s="20" t="str">
        <x:v>Analog Devices</x:v>
      </x:c>
      <x:c r="F16" s="20" t="str">
        <x:v>Article</x:v>
      </x:c>
      <x:c r="G16" s="20" t="str">
        <x:v>2011</x:v>
      </x:c>
      <x:c r="H16" s="20" t="str">
        <x:v>https://www.analog.com/en/resources/technical-articles/pcbs-layout-guidelines-for-rf--mixedsignal.html</x:v>
      </x:c>
      <x:c r="I16" s="20" t="n">
        <x:v>4</x:v>
      </x:c>
      <x:c r="J16" s="20" t="str">
        <x:v>Use for parasitic inductance and bypass capacitor orientation/ground-via placement rules.</x:v>
      </x:c>
      <x:c r="K16" s="20" t="str">
        <x:v>RF; mixed-signal; bypass capacitor; vias; parasitics</x:v>
      </x:c>
      <x:c r="L16" s="20" t="str">
        <x:v>Public web page.</x:v>
      </x:c>
    </x:row>
    <x:row r="17">
      <x:c r="A17" s="20" t="str">
        <x:v>SRC-016</x:v>
      </x:c>
      <x:c r="B17" s="20" t="str">
        <x:v>High-speed comms</x:v>
      </x:c>
      <x:c r="C17" s="20" t="str">
        <x:v>GMSL2 validation, TDR, parasitics</x:v>
      </x:c>
      <x:c r="D17" s="20" t="str">
        <x:v>Public GMSL2 Hardware Design and Validation Guide</x:v>
      </x:c>
      <x:c r="E17" s="20" t="str">
        <x:v>Analog Devices</x:v>
      </x:c>
      <x:c r="F17" s="20" t="str">
        <x:v>User guide PDF</x:v>
      </x:c>
      <x:c r="G17" s="20" t="str">
        <x:v>2024</x:v>
      </x:c>
      <x:c r="H17" s="20" t="str">
        <x:v>https://www.analog.com/media/en/technical-documentation/user-guides/public-gmsl2-hardware-design-and-validation-guide.pdf</x:v>
      </x:c>
      <x:c r="I17" s="20" t="n">
        <x:v>3</x:v>
      </x:c>
      <x:c r="J17" s="20" t="str">
        <x:v>Use for high-speed channel heuristics, TDR, rise-time bandwidth rule and PCB parasitic interpretation.</x:v>
      </x:c>
      <x:c r="K17" s="20" t="str">
        <x:v>GMSL; high-speed; TDR; parasitics; impedance</x:v>
      </x:c>
      <x:c r="L17" s="20" t="str">
        <x:v>Public PDF.</x:v>
      </x:c>
    </x:row>
    <x:row r="18">
      <x:c r="A18" s="20" t="str">
        <x:v>SRC-017</x:v>
      </x:c>
      <x:c r="B18" s="20" t="str">
        <x:v>High-speed comms</x:v>
      </x:c>
      <x:c r="C18" s="20" t="str">
        <x:v>GMSL3 validation, TDR, parasitics</x:v>
      </x:c>
      <x:c r="D18" s="20" t="str">
        <x:v>Public GMSL3 Hardware Design and Validation Guide</x:v>
      </x:c>
      <x:c r="E18" s="20" t="str">
        <x:v>Analog Devices</x:v>
      </x:c>
      <x:c r="F18" s="20" t="str">
        <x:v>User guide PDF</x:v>
      </x:c>
      <x:c r="G18" s="20" t="str">
        <x:v>2025</x:v>
      </x:c>
      <x:c r="H18" s="20" t="str">
        <x:v>https://www.analog.com/media/en/technical-documentation/user-guides/public-gmsl3-hardware-design-and-validation-guide.pdf</x:v>
      </x:c>
      <x:c r="I18" s="20" t="n">
        <x:v>3</x:v>
      </x:c>
      <x:c r="J18" s="20" t="str">
        <x:v>Use for advanced high-speed differential routing and validation patterns.</x:v>
      </x:c>
      <x:c r="K18" s="20" t="str">
        <x:v>GMSL3; high-speed; TDR; impedance; parasitics</x:v>
      </x:c>
      <x:c r="L18" s="20" t="str">
        <x:v>Public PDF.</x:v>
      </x:c>
    </x:row>
    <x:row r="19">
      <x:c r="A19" s="20" t="str">
        <x:v>SRC-018</x:v>
      </x:c>
      <x:c r="B19" s="20" t="str">
        <x:v>LTspice libraries</x:v>
      </x:c>
      <x:c r="C19" s="20" t="str">
        <x:v>EMC components</x:v>
      </x:c>
      <x:c r="D19" s="20" t="str">
        <x:v>LTspice Component Libraries</x:v>
      </x:c>
      <x:c r="E19" s="20" t="str">
        <x:v>Würth Elektronik</x:v>
      </x:c>
      <x:c r="F19" s="20" t="str">
        <x:v>Library page</x:v>
      </x:c>
      <x:c r="G19" s="20" t="str">
        <x:v>current</x:v>
      </x:c>
      <x:c r="H19" s="20" t="str">
        <x:v>https://www.we-online.com/en/support/design-tools/libraries/ltspice</x:v>
      </x:c>
      <x:c r="I19" s="20" t="n">
        <x:v>5</x:v>
      </x:c>
      <x:c r="J19" s="20" t="str">
        <x:v>Core source for LTspice-compatible models of ferrites, common-mode chokes, filter chokes, line filters and capacitors.</x:v>
      </x:c>
      <x:c r="K19" s="20" t="str">
        <x:v>LTspice; ferrite; CMC; EMI filter; components</x:v>
      </x:c>
      <x:c r="L19" s="20" t="str">
        <x:v>Public web page; component models have vendor terms.</x:v>
      </x:c>
    </x:row>
    <x:row r="20">
      <x:c r="A20" s="20" t="str">
        <x:v>SRC-019</x:v>
      </x:c>
      <x:c r="B20" s="20" t="str">
        <x:v>Component selection tools</x:v>
      </x:c>
      <x:c r="C20" s="20" t="str">
        <x:v>filter selection, parasitics</x:v>
      </x:c>
      <x:c r="D20" s="20" t="str">
        <x:v>REDEXPERT Design Tool</x:v>
      </x:c>
      <x:c r="E20" s="20" t="str">
        <x:v>Würth Elektronik</x:v>
      </x:c>
      <x:c r="F20" s="20" t="str">
        <x:v>Online design tool</x:v>
      </x:c>
      <x:c r="G20" s="20" t="str">
        <x:v>current</x:v>
      </x:c>
      <x:c r="H20" s="20" t="str">
        <x:v>https://www.we-online.com/en/support/design-tools/redexpert</x:v>
      </x:c>
      <x:c r="I20" s="20" t="n">
        <x:v>5</x:v>
      </x:c>
      <x:c r="J20" s="20" t="str">
        <x:v>Use as external tool reference for component selection, impedance curves and EMI filter design workflows.</x:v>
      </x:c>
      <x:c r="K20" s="20" t="str">
        <x:v>REDEXPERT; ferrite; CMC; inductor; EMI filter</x:v>
      </x:c>
      <x:c r="L20" s="20" t="str">
        <x:v>Public web page/tool; do not scrape without checking terms.</x:v>
      </x:c>
    </x:row>
    <x:row r="21">
      <x:c r="A21" s="20" t="str">
        <x:v>SRC-020</x:v>
      </x:c>
      <x:c r="B21" s="20" t="str">
        <x:v>General EMC workflow</x:v>
      </x:c>
      <x:c r="C21" s="20" t="str">
        <x:v>filters, LTspice, layout, PoE flyback</x:v>
      </x:c>
      <x:c r="D21" s="20" t="str">
        <x:v>Practical EMC Design Considerations</x:v>
      </x:c>
      <x:c r="E21" s="20" t="str">
        <x:v>Würth Elektronik</x:v>
      </x:c>
      <x:c r="F21" s="20" t="str">
        <x:v>Webinar slides PDF</x:v>
      </x:c>
      <x:c r="G21" s="20" t="str">
        <x:v>2022</x:v>
      </x:c>
      <x:c r="H21" s="20" t="str">
        <x:v>https://www.we-online.com/files/pdf1/wuerth-elektronik_digital-days-2022_practical-emc-design-coniderations-v1.pdf</x:v>
      </x:c>
      <x:c r="I21" s="20" t="n">
        <x:v>5</x:v>
      </x:c>
      <x:c r="J21" s="20" t="str">
        <x:v>Excellent source for rule-of-thumb + practical example pipeline: filter architecture, selection, simulation and layout review.</x:v>
      </x:c>
      <x:c r="K21" s="20" t="str">
        <x:v>EMC; LTspice; PoE; flyback; layout; filters</x:v>
      </x:c>
      <x:c r="L21" s="20" t="str">
        <x:v>Public PDF/slides.</x:v>
      </x:c>
    </x:row>
    <x:row r="22">
      <x:c r="A22" s="20" t="str">
        <x:v>SRC-021</x:v>
      </x:c>
      <x:c r="B22" s="20" t="str">
        <x:v>Conducted EMI</x:v>
      </x:c>
      <x:c r="C22" s="20" t="str">
        <x:v>common-mode and differential-mode filtering</x:v>
      </x:c>
      <x:c r="D22" s="20" t="str">
        <x:v>Efficient EMI Filtering of Common and Differential Mode Noise</x:v>
      </x:c>
      <x:c r="E22" s="20" t="str">
        <x:v>Würth Elektronik</x:v>
      </x:c>
      <x:c r="F22" s="20" t="str">
        <x:v>Webinar slides PDF</x:v>
      </x:c>
      <x:c r="G22" s="20" t="str">
        <x:v>2025</x:v>
      </x:c>
      <x:c r="H22" s="20" t="str">
        <x:v>https://www.we-online.com/files/pdf1/emc_cmanddm_mode_2025-1.pdf</x:v>
      </x:c>
      <x:c r="I22" s="20" t="n">
        <x:v>5</x:v>
      </x:c>
      <x:c r="J22" s="20" t="str">
        <x:v>Use for filter selection decision trees: CMC vs differential inductor vs capacitors.</x:v>
      </x:c>
      <x:c r="K22" s="20" t="str">
        <x:v>common-mode; differential-mode; CMC; EMI filter</x:v>
      </x:c>
      <x:c r="L22" s="20" t="str">
        <x:v>Public PDF/slides.</x:v>
      </x:c>
    </x:row>
    <x:row r="23">
      <x:c r="A23" s="20" t="str">
        <x:v>SRC-022</x:v>
      </x:c>
      <x:c r="B23" s="20" t="str">
        <x:v>AC/DC EMI filters</x:v>
      </x:c>
      <x:c r="C23" s="20" t="str">
        <x:v>AC line filters and LTspice</x:v>
      </x:c>
      <x:c r="D23" s="20" t="str">
        <x:v>Calculation, Design and LTspice Simulation of AC Line Filters</x:v>
      </x:c>
      <x:c r="E23" s="20" t="str">
        <x:v>Würth Elektronik</x:v>
      </x:c>
      <x:c r="F23" s="20" t="str">
        <x:v>Webinar slides PDF</x:v>
      </x:c>
      <x:c r="G23" s="20" t="str">
        <x:v>2024</x:v>
      </x:c>
      <x:c r="H23" s="20" t="str">
        <x:v>https://www.we-online.com/files/pdf1/final_calculation-design--lt-spice-simulation-of-ac-line-filters.pdf</x:v>
      </x:c>
      <x:c r="I23" s="20" t="n">
        <x:v>5</x:v>
      </x:c>
      <x:c r="J23" s="20" t="str">
        <x:v>Core for AC/DC conducted EMI and LISN-equivalent CM/DM line-filter modeling.</x:v>
      </x:c>
      <x:c r="K23" s="20" t="str">
        <x:v>AC line filter; LTspice; LISN; CM; DM</x:v>
      </x:c>
      <x:c r="L23" s="20" t="str">
        <x:v>Public PDF/slides.</x:v>
      </x:c>
    </x:row>
    <x:row r="24">
      <x:c r="A24" s="20" t="str">
        <x:v>SRC-023</x:v>
      </x:c>
      <x:c r="B24" s="20" t="str">
        <x:v>DC/DC converters</x:v>
      </x:c>
      <x:c r="C24" s="20" t="str">
        <x:v>boost EMI, filter damping, snubbers</x:v>
      </x:c>
      <x:c r="D24" s="20" t="str">
        <x:v>DC/DC Boost Converter EMI Seminar</x:v>
      </x:c>
      <x:c r="E24" s="20" t="str">
        <x:v>Würth Elektronik</x:v>
      </x:c>
      <x:c r="F24" s="20" t="str">
        <x:v>Webinar slides PDF</x:v>
      </x:c>
      <x:c r="G24" s="20" t="str">
        <x:v>2025</x:v>
      </x:c>
      <x:c r="H24" s="20" t="str">
        <x:v>https://www.we-online.com/files/pdf1/dcdc-boost-demo-2025.pdf</x:v>
      </x:c>
      <x:c r="I24" s="20" t="n">
        <x:v>5</x:v>
      </x:c>
      <x:c r="J24" s="20" t="str">
        <x:v>Use for DCDC boost-specific patterns, damping, Schottky recovery, bead placement and measurement correlation.</x:v>
      </x:c>
      <x:c r="K24" s="20" t="str">
        <x:v>DCDC; boost; EMI; damping; snubber; ferrite</x:v>
      </x:c>
      <x:c r="L24" s="20" t="str">
        <x:v>Public PDF/slides.</x:v>
      </x:c>
    </x:row>
    <x:row r="25">
      <x:c r="A25" s="20" t="str">
        <x:v>SRC-024</x:v>
      </x:c>
      <x:c r="B25" s="20" t="str">
        <x:v>DC/DC converters</x:v>
      </x:c>
      <x:c r="C25" s="20" t="str">
        <x:v>layout, components, filters</x:v>
      </x:c>
      <x:c r="D25" s="20" t="str">
        <x:v>ANP044: Impact of Layout, Components and Filters on EMC of Modern DC/DC Switching Controllers</x:v>
      </x:c>
      <x:c r="E25" s="20" t="str">
        <x:v>Würth Elektronik</x:v>
      </x:c>
      <x:c r="F25" s="20" t="str">
        <x:v>Application note PDF</x:v>
      </x:c>
      <x:c r="G25" s="20" t="str">
        <x:v>2024</x:v>
      </x:c>
      <x:c r="H25" s="20" t="str">
        <x:v>https://www.we-online.com/components/media/o109026v410%20ANP044d_Impact%20of%20the%20layout%2C%20components%2C%20and%20filters%20on%20the%20EMC%20of%20modern%20DCDC%20switching%20controllers.pdf</x:v>
      </x:c>
      <x:c r="I25" s="20" t="n">
        <x:v>5</x:v>
      </x:c>
      <x:c r="J25" s="20" t="str">
        <x:v>Use for causality rules: MLCC + filter inductance resonance, layout parasitics, LC damping and input filter stability.</x:v>
      </x:c>
      <x:c r="K25" s="20" t="str">
        <x:v>DCDC; MLCC; resonance; damping; layout; EMI</x:v>
      </x:c>
      <x:c r="L25" s="20" t="str">
        <x:v>Public PDF.</x:v>
      </x:c>
    </x:row>
    <x:row r="26">
      <x:c r="A26" s="20" t="str">
        <x:v>SRC-025</x:v>
      </x:c>
      <x:c r="B26" s="20" t="str">
        <x:v>Decoupling / filtering</x:v>
      </x:c>
      <x:c r="C26" s="20" t="str">
        <x:v>layout, vias, MLCC blocking caps</x:v>
      </x:c>
      <x:c r="D26" s="20" t="str">
        <x:v>ANP098: Effect of Layout, Vias and Design on Blocking Capacitor Performance</x:v>
      </x:c>
      <x:c r="E26" s="20" t="str">
        <x:v>Würth Elektronik</x:v>
      </x:c>
      <x:c r="F26" s="20" t="str">
        <x:v>Application note PDF</x:v>
      </x:c>
      <x:c r="G26" s="20" t="str">
        <x:v>2022</x:v>
      </x:c>
      <x:c r="H26" s="20" t="str">
        <x:v>https://www.we-online.com/components/media/o695199v410%20ANP098a%20EN.pdf</x:v>
      </x:c>
      <x:c r="I26" s="20" t="n">
        <x:v>5</x:v>
      </x:c>
      <x:c r="J26" s="20" t="str">
        <x:v>Use for decoupling-capacitor placement, via count and loop inductance behavior.</x:v>
      </x:c>
      <x:c r="K26" s="20" t="str">
        <x:v>decoupling; blocking capacitor; via; layout; MLCC</x:v>
      </x:c>
      <x:c r="L26" s="20" t="str">
        <x:v>Public PDF.</x:v>
      </x:c>
    </x:row>
    <x:row r="27">
      <x:c r="A27" s="20" t="str">
        <x:v>SRC-026</x:v>
      </x:c>
      <x:c r="B27" s="20" t="str">
        <x:v>EMC basics</x:v>
      </x:c>
      <x:c r="C27" s="20" t="str">
        <x:v>capacitive/inductive coupling, rule-of-thumb</x:v>
      </x:c>
      <x:c r="D27" s="20" t="str">
        <x:v>EMC Design Tips 2025</x:v>
      </x:c>
      <x:c r="E27" s="20" t="str">
        <x:v>Würth Elektronik</x:v>
      </x:c>
      <x:c r="F27" s="20" t="str">
        <x:v>Slides PDF</x:v>
      </x:c>
      <x:c r="G27" s="20" t="str">
        <x:v>2025</x:v>
      </x:c>
      <x:c r="H27" s="20" t="str">
        <x:v>https://www.we-online.com/files/pdf1/emc-design-tips-2025_en.pdf</x:v>
      </x:c>
      <x:c r="I27" s="20" t="n">
        <x:v>4</x:v>
      </x:c>
      <x:c r="J27" s="20" t="str">
        <x:v>Use for general EMC reasoning: source-path-victim, capacitive/inductive coupling, trace proximity and isolation.</x:v>
      </x:c>
      <x:c r="K27" s="20" t="str">
        <x:v>EMC basics; coupling; layout; shielding; grounding</x:v>
      </x:c>
      <x:c r="L27" s="20" t="str">
        <x:v>Public PDF/slides.</x:v>
      </x:c>
    </x:row>
    <x:row r="28">
      <x:c r="A28" s="20" t="str">
        <x:v>SRC-027</x:v>
      </x:c>
      <x:c r="B28" s="20" t="str">
        <x:v>Passive components</x:v>
      </x:c>
      <x:c r="C28" s="20" t="str">
        <x:v>RF inductors, SRF, parasitics</x:v>
      </x:c>
      <x:c r="D28" s="20" t="str">
        <x:v>ANP074: Introduction to RF Inductors</x:v>
      </x:c>
      <x:c r="E28" s="20" t="str">
        <x:v>Würth Elektronik</x:v>
      </x:c>
      <x:c r="F28" s="20" t="str">
        <x:v>Application note PDF</x:v>
      </x:c>
      <x:c r="G28" s="20" t="str">
        <x:v>2026?</x:v>
      </x:c>
      <x:c r="H28" s="20" t="str">
        <x:v>https://www.we-online.com/components/media/o756030v410%20ANP074%20EN_Introduction%20to%20RF%20Inductors.pdf</x:v>
      </x:c>
      <x:c r="I28" s="20" t="n">
        <x:v>4</x:v>
      </x:c>
      <x:c r="J28" s="20" t="str">
        <x:v>Use for selecting inductors/beads around SRF and parasitic capacitance limits.</x:v>
      </x:c>
      <x:c r="K28" s="20" t="str">
        <x:v>RF inductor; SRF; parasitic capacitance; impedance</x:v>
      </x:c>
      <x:c r="L28" s="20" t="str">
        <x:v>Public PDF.</x:v>
      </x:c>
    </x:row>
    <x:row r="29">
      <x:c r="A29" s="20" t="str">
        <x:v>SRC-028</x:v>
      </x:c>
      <x:c r="B29" s="20" t="str">
        <x:v>Passive components</x:v>
      </x:c>
      <x:c r="C29" s="20" t="str">
        <x:v>common-mode chokes</x:v>
      </x:c>
      <x:c r="D29" s="20" t="str">
        <x:v>ANP146: WE-CMDC Common Mode Chokes</x:v>
      </x:c>
      <x:c r="E29" s="20" t="str">
        <x:v>Würth Elektronik</x:v>
      </x:c>
      <x:c r="F29" s="20" t="str">
        <x:v>Application note PDF</x:v>
      </x:c>
      <x:c r="G29" s="20" t="str">
        <x:v>2025</x:v>
      </x:c>
      <x:c r="H29" s="20" t="str">
        <x:v>https://www.we-online.com/components/media/o868432v410%20ANP146a_WE-CMDC_EN.pdf</x:v>
      </x:c>
      <x:c r="I29" s="20" t="n">
        <x:v>4</x:v>
      </x:c>
      <x:c r="J29" s="20" t="str">
        <x:v>Use for understanding CMC behavior, leakage inductance and practical filtering caveats.</x:v>
      </x:c>
      <x:c r="K29" s="20" t="str">
        <x:v>CMC; common-mode choke; leakage inductance; EMI</x:v>
      </x:c>
      <x:c r="L29" s="20" t="str">
        <x:v>Public PDF.</x:v>
      </x:c>
    </x:row>
    <x:row r="30">
      <x:c r="A30" s="20" t="str">
        <x:v>SRC-029</x:v>
      </x:c>
      <x:c r="B30" s="20" t="str">
        <x:v>PCB EMC debugging</x:v>
      </x:c>
      <x:c r="C30" s="20" t="str">
        <x:v>layout fixes</x:v>
      </x:c>
      <x:c r="D30" s="20" t="str">
        <x:v>How do I solve EMI on PCB level?</x:v>
      </x:c>
      <x:c r="E30" s="20" t="str">
        <x:v>Würth Elektronik</x:v>
      </x:c>
      <x:c r="F30" s="20" t="str">
        <x:v>Webinar slides PDF</x:v>
      </x:c>
      <x:c r="G30" s="20" t="str">
        <x:v>2018</x:v>
      </x:c>
      <x:c r="H30" s="20" t="str">
        <x:v>https://www.we-online.com/files/pdf1/webinar_emi-problem-on-pcb-level_20.11.2018.pdf</x:v>
      </x:c>
      <x:c r="I30" s="20" t="n">
        <x:v>4</x:v>
      </x:c>
      <x:c r="J30" s="20" t="str">
        <x:v>Use for schematic/layout debugging checklist: short traces, coupling avoidance, routing and return paths.</x:v>
      </x:c>
      <x:c r="K30" s="20" t="str">
        <x:v>PCB EMC; layout; coupling; traces; debugging</x:v>
      </x:c>
      <x:c r="L30" s="20" t="str">
        <x:v>Public PDF/slides.</x:v>
      </x:c>
    </x:row>
    <x:row r="31">
      <x:c r="A31" s="20" t="str">
        <x:v>SRC-030</x:v>
      </x:c>
      <x:c r="B31" s="20" t="str">
        <x:v>Power-supply EMI</x:v>
      </x:c>
      <x:c r="C31" s="20" t="str">
        <x:v>intro and standards ranges</x:v>
      </x:c>
      <x:c r="D31" s="20" t="str">
        <x:v>Introduction to EMI in Power Supply Designs</x:v>
      </x:c>
      <x:c r="E31" s="20" t="str">
        <x:v>Texas Instruments</x:v>
      </x:c>
      <x:c r="F31" s="20" t="str">
        <x:v>PDF/presentation</x:v>
      </x:c>
      <x:c r="G31" s="20" t="str">
        <x:v>2021</x:v>
      </x:c>
      <x:c r="H31" s="20" t="str">
        <x:v>https://www.ti.com/lit/pdf/slyp757</x:v>
      </x:c>
      <x:c r="I31" s="20" t="n">
        <x:v>5</x:v>
      </x:c>
      <x:c r="J31" s="20" t="str">
        <x:v>Use for basic taxonomy: source-path-receptor, conducted vs radiated, typical ranges and mitigation categories.</x:v>
      </x:c>
      <x:c r="K31" s="20" t="str">
        <x:v>power supply; EMI basics; conducted; radiated; CISPR</x:v>
      </x:c>
      <x:c r="L31" s="20" t="str">
        <x:v>Public PDF.</x:v>
      </x:c>
    </x:row>
    <x:row r="32">
      <x:c r="A32" s="20" t="str">
        <x:v>SRC-031</x:v>
      </x:c>
      <x:c r="B32" s="20" t="str">
        <x:v>DC/DC converters</x:v>
      </x:c>
      <x:c r="C32" s="20" t="str">
        <x:v>low EMI regulators</x:v>
      </x:c>
      <x:c r="D32" s="20" t="str">
        <x:v>An Engineer's Guide to Low EMI in DC/DC Regulators</x:v>
      </x:c>
      <x:c r="E32" s="20" t="str">
        <x:v>Texas Instruments</x:v>
      </x:c>
      <x:c r="F32" s="20" t="str">
        <x:v>E-book PDF</x:v>
      </x:c>
      <x:c r="G32" s="20" t="str">
        <x:v>2025?</x:v>
      </x:c>
      <x:c r="H32" s="20" t="str">
        <x:v>https://www.ti.com/lit/eb/slyy208/slyy208.pdf</x:v>
      </x:c>
      <x:c r="I32" s="20" t="n">
        <x:v>5</x:v>
      </x:c>
      <x:c r="J32" s="20" t="str">
        <x:v>Use for converter architecture/layout/loop-area heuristics and low-EMI regulator design.</x:v>
      </x:c>
      <x:c r="K32" s="20" t="str">
        <x:v>DCDC; low EMI; loops; switching regulators; layout</x:v>
      </x:c>
      <x:c r="L32" s="20" t="str">
        <x:v>Public PDF/e-book.</x:v>
      </x:c>
    </x:row>
    <x:row r="33">
      <x:c r="A33" s="20" t="str">
        <x:v>SRC-032</x:v>
      </x:c>
      <x:c r="B33" s="20" t="str">
        <x:v>DC/DC converters</x:v>
      </x:c>
      <x:c r="C33" s="20" t="str">
        <x:v>EMI requirements</x:v>
      </x:c>
      <x:c r="D33" s="20" t="str">
        <x:v>Fundamentals of EMI Requirements for an Isolated DC/DC Converter</x:v>
      </x:c>
      <x:c r="E33" s="20" t="str">
        <x:v>Texas Instruments</x:v>
      </x:c>
      <x:c r="F33" s="20" t="str">
        <x:v>White paper PDF</x:v>
      </x:c>
      <x:c r="G33" s="20" t="str">
        <x:v>2021</x:v>
      </x:c>
      <x:c r="H33" s="20" t="str">
        <x:v>https://www.ti.com/lit/wp/slyy202/slyy202.pdf</x:v>
      </x:c>
      <x:c r="I33" s="20" t="n">
        <x:v>4</x:v>
      </x:c>
      <x:c r="J33" s="20" t="str">
        <x:v>Use for standard-oriented EMI requirements and isolated converter noise causes/mitigation.</x:v>
      </x:c>
      <x:c r="K33" s="20" t="str">
        <x:v>isolated DCDC; EMI requirements; transformer; standards</x:v>
      </x:c>
      <x:c r="L33" s="20" t="str">
        <x:v>Public PDF.</x:v>
      </x:c>
    </x:row>
    <x:row r="34">
      <x:c r="A34" s="20" t="str">
        <x:v>SRC-033</x:v>
      </x:c>
      <x:c r="B34" s="20" t="str">
        <x:v>PCB layout EMC</x:v>
      </x:c>
      <x:c r="C34" s="20" t="str">
        <x:v>general layout rules</x:v>
      </x:c>
      <x:c r="D34" s="20" t="str">
        <x:v>PCB Design Guidelines for Reduced EMI</x:v>
      </x:c>
      <x:c r="E34" s="20" t="str">
        <x:v>Texas Instruments</x:v>
      </x:c>
      <x:c r="F34" s="20" t="str">
        <x:v>Application report PDF</x:v>
      </x:c>
      <x:c r="G34" s="20" t="str">
        <x:v>1999?</x:v>
      </x:c>
      <x:c r="H34" s="20" t="str">
        <x:v>https://www.ti.com/lit/pdf/szza009</x:v>
      </x:c>
      <x:c r="I34" s="20" t="n">
        <x:v>5</x:v>
      </x:c>
      <x:c r="J34" s="20" t="str">
        <x:v>Use as general rule-of-thumb source for PCB emissions: loop area, return current, decoupling, planes.</x:v>
      </x:c>
      <x:c r="K34" s="20" t="str">
        <x:v>PCB layout; reduced EMI; loop area; return path</x:v>
      </x:c>
      <x:c r="L34" s="20" t="str">
        <x:v>Public PDF; older but canonical basics.</x:v>
      </x:c>
    </x:row>
    <x:row r="35">
      <x:c r="A35" s="20" t="str">
        <x:v>SRC-034</x:v>
      </x:c>
      <x:c r="B35" s="20" t="str">
        <x:v>High-speed layout</x:v>
      </x:c>
      <x:c r="C35" s="20" t="str">
        <x:v>clock/high-speed signals</x:v>
      </x:c>
      <x:c r="D35" s="20" t="str">
        <x:v>High-Speed Layout Guidelines</x:v>
      </x:c>
      <x:c r="E35" s="20" t="str">
        <x:v>Texas Instruments</x:v>
      </x:c>
      <x:c r="F35" s="20" t="str">
        <x:v>Application report PDF</x:v>
      </x:c>
      <x:c r="G35" s="20" t="str">
        <x:v>2017 rev.</x:v>
      </x:c>
      <x:c r="H35" s="20" t="str">
        <x:v>https://www.ti.com/lit/pdf/scaa082</x:v>
      </x:c>
      <x:c r="I35" s="20" t="n">
        <x:v>5</x:v>
      </x:c>
      <x:c r="J35" s="20" t="str">
        <x:v>Use for high-speed timing/routing and return-path guidelines.</x:v>
      </x:c>
      <x:c r="K35" s="20" t="str">
        <x:v>high-speed; clocks; routing; impedance; EMI</x:v>
      </x:c>
      <x:c r="L35" s="20" t="str">
        <x:v>Public PDF.</x:v>
      </x:c>
    </x:row>
    <x:row r="36">
      <x:c r="A36" s="20" t="str">
        <x:v>SRC-035</x:v>
      </x:c>
      <x:c r="B36" s="20" t="str">
        <x:v>High-speed interfaces</x:v>
      </x:c>
      <x:c r="C36" s="20" t="str">
        <x:v>ESD/EMI layout rules</x:v>
      </x:c>
      <x:c r="D36" s="20" t="str">
        <x:v>High-Speed Interface Layout Guidelines</x:v>
      </x:c>
      <x:c r="E36" s="20" t="str">
        <x:v>Texas Instruments</x:v>
      </x:c>
      <x:c r="F36" s="20" t="str">
        <x:v>Application report PDF</x:v>
      </x:c>
      <x:c r="G36" s="20" t="str">
        <x:v>2023 rev.</x:v>
      </x:c>
      <x:c r="H36" s="20" t="str">
        <x:v>https://www.ti.com/lit/pdf/spraar7</x:v>
      </x:c>
      <x:c r="I36" s="20" t="n">
        <x:v>5</x:v>
      </x:c>
      <x:c r="J36" s="20" t="str">
        <x:v>Use for practical high-speed interface checklists: ESD/EMI parts near connectors, reference planes, voids.</x:v>
      </x:c>
      <x:c r="K36" s="20" t="str">
        <x:v>high-speed; USB; PCIe; HDMI; ESD; EMI</x:v>
      </x:c>
      <x:c r="L36" s="20" t="str">
        <x:v>Public PDF.</x:v>
      </x:c>
    </x:row>
    <x:row r="37">
      <x:c r="A37" s="20" t="str">
        <x:v>SRC-036</x:v>
      </x:c>
      <x:c r="B37" s="20" t="str">
        <x:v>High-speed interfaces</x:v>
      </x:c>
      <x:c r="C37" s="20" t="str">
        <x:v>USB hubs/signal conditioners</x:v>
      </x:c>
      <x:c r="D37" s="20" t="str">
        <x:v>High-Speed Layout Guidelines for Signal Conditioners and USB Hubs</x:v>
      </x:c>
      <x:c r="E37" s="20" t="str">
        <x:v>Texas Instruments</x:v>
      </x:c>
      <x:c r="F37" s="20" t="str">
        <x:v>Application report PDF</x:v>
      </x:c>
      <x:c r="G37" s="20" t="str">
        <x:v>2026 rev.</x:v>
      </x:c>
      <x:c r="H37" s="20" t="str">
        <x:v>https://www.ti.com/lit/pdf/slla414</x:v>
      </x:c>
      <x:c r="I37" s="20" t="n">
        <x:v>5</x:v>
      </x:c>
      <x:c r="J37" s="20" t="str">
        <x:v>Use for latest TI high-speed layout best practices for USB and signal-conditioning designs.</x:v>
      </x:c>
      <x:c r="K37" s="20" t="str">
        <x:v>USB; high-speed; differential pair; layout; DFM</x:v>
      </x:c>
      <x:c r="L37" s="20" t="str">
        <x:v>Public PDF.</x:v>
      </x:c>
    </x:row>
    <x:row r="38">
      <x:c r="A38" s="20" t="str">
        <x:v>SRC-037</x:v>
      </x:c>
      <x:c r="B38" s="20" t="str">
        <x:v>USB</x:v>
      </x:c>
      <x:c r="C38" s="20" t="str">
        <x:v>USB 2.0 layout and EMI</x:v>
      </x:c>
      <x:c r="D38" s="20" t="str">
        <x:v>AM335x and AM43xx USB Layout Guidelines</x:v>
      </x:c>
      <x:c r="E38" s="20" t="str">
        <x:v>Texas Instruments</x:v>
      </x:c>
      <x:c r="F38" s="20" t="str">
        <x:v>Application report PDF</x:v>
      </x:c>
      <x:c r="G38" s="20" t="str">
        <x:v>2021 rev.</x:v>
      </x:c>
      <x:c r="H38" s="20" t="str">
        <x:v>https://www.ti.com/lit/an/sprabt8a/sprabt8a.pdf</x:v>
      </x:c>
      <x:c r="I38" s="20" t="n">
        <x:v>4</x:v>
      </x:c>
      <x:c r="J38" s="20" t="str">
        <x:v>Use for USB DP/DM rules: ESD placement, optional CMC placement, via capacitance.</x:v>
      </x:c>
      <x:c r="K38" s="20" t="str">
        <x:v>USB; DPDM; ESD; CMC; differential pair</x:v>
      </x:c>
      <x:c r="L38" s="20" t="str">
        <x:v>Public PDF.</x:v>
      </x:c>
    </x:row>
    <x:row r="39">
      <x:c r="A39" s="20" t="str">
        <x:v>SRC-038</x:v>
      </x:c>
      <x:c r="B39" s="20" t="str">
        <x:v>RS-485</x:v>
      </x:c>
      <x:c r="C39" s="20" t="str">
        <x:v>industrial comms robustness</x:v>
      </x:c>
      <x:c r="D39" s="20" t="str">
        <x:v>The RS-485 Design Guide</x:v>
      </x:c>
      <x:c r="E39" s="20" t="str">
        <x:v>Texas Instruments</x:v>
      </x:c>
      <x:c r="F39" s="20" t="str">
        <x:v>Application report PDF</x:v>
      </x:c>
      <x:c r="G39" s="20" t="str">
        <x:v>2021 rev.</x:v>
      </x:c>
      <x:c r="H39" s="20" t="str">
        <x:v>https://www.ti.com/lit/pdf/slla272</x:v>
      </x:c>
      <x:c r="I39" s="20" t="n">
        <x:v>4</x:v>
      </x:c>
      <x:c r="J39" s="20" t="str">
        <x:v>Use for RS-485 topology, termination, grounding/protection and robust network design.</x:v>
      </x:c>
      <x:c r="K39" s="20" t="str">
        <x:v>RS-485; termination; protection; industrial; EMC</x:v>
      </x:c>
      <x:c r="L39" s="20" t="str">
        <x:v>Public PDF.</x:v>
      </x:c>
    </x:row>
    <x:row r="40">
      <x:c r="A40" s="20" t="str">
        <x:v>SRC-039</x:v>
      </x:c>
      <x:c r="B40" s="20" t="str">
        <x:v>CAN</x:v>
      </x:c>
      <x:c r="C40" s="20" t="str">
        <x:v>common-mode chokes in CAN</x:v>
      </x:c>
      <x:c r="D40" s="20" t="str">
        <x:v>Common-Mode Chokes in CAN Networks</x:v>
      </x:c>
      <x:c r="E40" s="20" t="str">
        <x:v>Texas Instruments</x:v>
      </x:c>
      <x:c r="F40" s="20" t="str">
        <x:v>Application report PDF</x:v>
      </x:c>
      <x:c r="G40" s="20" t="str">
        <x:v>2008</x:v>
      </x:c>
      <x:c r="H40" s="20" t="str">
        <x:v>https://www.ti.com/lit/pdf/slla271</x:v>
      </x:c>
      <x:c r="I40" s="20" t="n">
        <x:v>4</x:v>
      </x:c>
      <x:c r="J40" s="20" t="str">
        <x:v>Use for caveats around CMCs in CAN networks and unexpected transients.</x:v>
      </x:c>
      <x:c r="K40" s="20" t="str">
        <x:v>CAN; CMC; automotive; EMC; transients</x:v>
      </x:c>
      <x:c r="L40" s="20" t="str">
        <x:v>Public PDF.</x:v>
      </x:c>
    </x:row>
    <x:row r="41">
      <x:c r="A41" s="20" t="str">
        <x:v>SRC-040</x:v>
      </x:c>
      <x:c r="B41" s="20" t="str">
        <x:v>Ethernet / SPE</x:v>
      </x:c>
      <x:c r="C41" s="20" t="str">
        <x:v>EMC/EMI compliant SPE</x:v>
      </x:c>
      <x:c r="D41" s="20" t="str">
        <x:v>EMC/EMI Compliant Design for Single Pair Ethernet</x:v>
      </x:c>
      <x:c r="E41" s="20" t="str">
        <x:v>Texas Instruments</x:v>
      </x:c>
      <x:c r="F41" s="20" t="str">
        <x:v>Application note PDF</x:v>
      </x:c>
      <x:c r="G41" s="20" t="str">
        <x:v>2023</x:v>
      </x:c>
      <x:c r="H41" s="20" t="str">
        <x:v>https://www.ti.com/lit/pdf/snla434</x:v>
      </x:c>
      <x:c r="I41" s="20" t="n">
        <x:v>5</x:v>
      </x:c>
      <x:c r="J41" s="20" t="str">
        <x:v>Use for SPE/PoDL EMC schematic and layout practices, power and clocking focus.</x:v>
      </x:c>
      <x:c r="K41" s="20" t="str">
        <x:v>SPE; Ethernet; PoDL; EMC; clocking; power</x:v>
      </x:c>
      <x:c r="L41" s="20" t="str">
        <x:v>Public PDF.</x:v>
      </x:c>
    </x:row>
    <x:row r="42">
      <x:c r="A42" s="20" t="str">
        <x:v>SRC-041</x:v>
      </x:c>
      <x:c r="B42" s="20" t="str">
        <x:v>Industrial Ethernet</x:v>
      </x:c>
      <x:c r="C42" s="20" t="str">
        <x:v>EMC performance</x:v>
      </x:c>
      <x:c r="D42" s="20" t="str">
        <x:v>Optimizing EMC Performance in Industrial Ethernet Applications</x:v>
      </x:c>
      <x:c r="E42" s="20" t="str">
        <x:v>Texas Instruments</x:v>
      </x:c>
      <x:c r="F42" s="20" t="str">
        <x:v>Application report PDF</x:v>
      </x:c>
      <x:c r="G42" s="20" t="str">
        <x:v>2024</x:v>
      </x:c>
      <x:c r="H42" s="20" t="str">
        <x:v>https://www.ti.com/lit/an/snla466/snla466.pdf</x:v>
      </x:c>
      <x:c r="I42" s="20" t="n">
        <x:v>4</x:v>
      </x:c>
      <x:c r="J42" s="20" t="str">
        <x:v>Use for Ethernet CMC/transformer/filter decisions and industrial EMC countermeasures.</x:v>
      </x:c>
      <x:c r="K42" s="20" t="str">
        <x:v>industrial Ethernet; CMC; transformer; EMC</x:v>
      </x:c>
      <x:c r="L42" s="20" t="str">
        <x:v>Public PDF.</x:v>
      </x:c>
    </x:row>
    <x:row r="43">
      <x:c r="A43" s="20" t="str">
        <x:v>SRC-042</x:v>
      </x:c>
      <x:c r="B43" s="20" t="str">
        <x:v>Ethernet</x:v>
      </x:c>
      <x:c r="C43" s="20" t="str">
        <x:v>radiated emissions</x:v>
      </x:c>
      <x:c r="D43" s="20" t="str">
        <x:v>Reducing Radiated Emissions in Ethernet 10/100 LAN Applications</x:v>
      </x:c>
      <x:c r="E43" s="20" t="str">
        <x:v>Texas Instruments</x:v>
      </x:c>
      <x:c r="F43" s="20" t="str">
        <x:v>Application report PDF</x:v>
      </x:c>
      <x:c r="G43" s="20" t="str">
        <x:v>2013 rev.</x:v>
      </x:c>
      <x:c r="H43" s="20" t="str">
        <x:v>https://www.ti.com/lit/pdf/snla107</x:v>
      </x:c>
      <x:c r="I43" s="20" t="n">
        <x:v>4</x:v>
      </x:c>
      <x:c r="J43" s="20" t="str">
        <x:v>Use later for radiated expansion and chassis/ground/cable interface rules.</x:v>
      </x:c>
      <x:c r="K43" s="20" t="str">
        <x:v>Ethernet; radiated emissions; cable; CMC; chassis</x:v>
      </x:c>
      <x:c r="L43" s="20" t="str">
        <x:v>Public PDF.</x:v>
      </x:c>
    </x:row>
    <x:row r="44">
      <x:c r="A44" s="20" t="str">
        <x:v>SRC-043</x:v>
      </x:c>
      <x:c r="B44" s="20" t="str">
        <x:v>Motor drivers</x:v>
      </x:c>
      <x:c r="C44" s="20" t="str">
        <x:v>layout loops, vias, returns</x:v>
      </x:c>
      <x:c r="D44" s="20" t="str">
        <x:v>Best Practices for Board Layout of Motor Drivers</x:v>
      </x:c>
      <x:c r="E44" s="20" t="str">
        <x:v>Texas Instruments</x:v>
      </x:c>
      <x:c r="F44" s="20" t="str">
        <x:v>Application report PDF</x:v>
      </x:c>
      <x:c r="G44" s="20" t="str">
        <x:v>2021 rev.</x:v>
      </x:c>
      <x:c r="H44" s="20" t="str">
        <x:v>https://www.ti.com/lit/an/slva959b/slva959b.pdf</x:v>
      </x:c>
      <x:c r="I44" s="20" t="n">
        <x:v>3</x:v>
      </x:c>
      <x:c r="J44" s="20" t="str">
        <x:v>Use for high-current switching loop and via/return-path best practices for motor-drive designs.</x:v>
      </x:c>
      <x:c r="K44" s="20" t="str">
        <x:v>motor driver; layout; vias; return path; switching loops</x:v>
      </x:c>
      <x:c r="L44" s="20" t="str">
        <x:v>Public PDF.</x:v>
      </x:c>
    </x:row>
    <x:row r="45">
      <x:c r="A45" s="20" t="str">
        <x:v>SRC-044</x:v>
      </x:c>
      <x:c r="B45" s="20" t="str">
        <x:v>DC/DC layout</x:v>
      </x:c>
      <x:c r="C45" s="20" t="str">
        <x:v>switcher PCB rules</x:v>
      </x:c>
      <x:c r="D45" s="20" t="str">
        <x:v>AN-1229 SIMPLE SWITCHER PCB Layout Guidelines</x:v>
      </x:c>
      <x:c r="E45" s="20" t="str">
        <x:v>Texas Instruments</x:v>
      </x:c>
      <x:c r="F45" s="20" t="str">
        <x:v>Application report PDF</x:v>
      </x:c>
      <x:c r="G45" s="20" t="str">
        <x:v>2013 rev.</x:v>
      </x:c>
      <x:c r="H45" s="20" t="str">
        <x:v>https://www.ti.com/lit/pdf/snva054</x:v>
      </x:c>
      <x:c r="I45" s="20" t="n">
        <x:v>4</x:v>
      </x:c>
      <x:c r="J45" s="20" t="str">
        <x:v>Use for simple switcher layout rules and loop minimization.</x:v>
      </x:c>
      <x:c r="K45" s="20" t="str">
        <x:v>DCDC; layout; buck; switcher; input cap</x:v>
      </x:c>
      <x:c r="L45" s="20" t="str">
        <x:v>Public PDF.</x:v>
      </x:c>
    </x:row>
    <x:row r="46">
      <x:c r="A46" s="20" t="str">
        <x:v>SRC-045</x:v>
      </x:c>
      <x:c r="B46" s="20" t="str">
        <x:v>DC/DC EMI mitigation</x:v>
      </x:c>
      <x:c r="C46" s="20" t="str">
        <x:v>automotive module example</x:v>
      </x:c>
      <x:c r="D46" s="20" t="str">
        <x:v>EMI Mitigation Techniques Using the TPSM33620-Q1</x:v>
      </x:c>
      <x:c r="E46" s="20" t="str">
        <x:v>Texas Instruments</x:v>
      </x:c>
      <x:c r="F46" s="20" t="str">
        <x:v>Application note PDF</x:v>
      </x:c>
      <x:c r="G46" s="20" t="str">
        <x:v>2026</x:v>
      </x:c>
      <x:c r="H46" s="20" t="str">
        <x:v>https://www.ti.com/lit/pdf/sdaa041</x:v>
      </x:c>
      <x:c r="I46" s="20" t="n">
        <x:v>4</x:v>
      </x:c>
      <x:c r="J46" s="20" t="str">
        <x:v>Use for modern automotive buck module EMI mitigation examples and validation patterns.</x:v>
      </x:c>
      <x:c r="K46" s="20" t="str">
        <x:v>automotive; buck; EMI; CISPR; layout</x:v>
      </x:c>
      <x:c r="L46" s="20" t="str">
        <x:v>Public PDF.</x:v>
      </x:c>
    </x:row>
    <x:row r="47">
      <x:c r="A47" s="20" t="str">
        <x:v>SRC-046</x:v>
      </x:c>
      <x:c r="B47" s="20" t="str">
        <x:v>LVDS/high-speed</x:v>
      </x:c>
      <x:c r="C47" s="20" t="str">
        <x:v>transmission lines and filtering</x:v>
      </x:c>
      <x:c r="D47" s="20" t="str">
        <x:v>LVDS Application and Data Handbook</x:v>
      </x:c>
      <x:c r="E47" s="20" t="str">
        <x:v>Texas Instruments</x:v>
      </x:c>
      <x:c r="F47" s="20" t="str">
        <x:v>Handbook PDF</x:v>
      </x:c>
      <x:c r="G47" s="20" t="str">
        <x:v>2002</x:v>
      </x:c>
      <x:c r="H47" s="20" t="str">
        <x:v>https://www.ti.com/lit/ug/slld009/slld009.pdf</x:v>
      </x:c>
      <x:c r="I47" s="20" t="n">
        <x:v>3</x:v>
      </x:c>
      <x:c r="J47" s="20" t="str">
        <x:v>Use for transmission-line model thresholds and LVDS common-mode filtering caveats.</x:v>
      </x:c>
      <x:c r="K47" s="20" t="str">
        <x:v>LVDS; transmission line; CMC; split termination; SI</x:v>
      </x:c>
      <x:c r="L47" s="20" t="str">
        <x:v>Public PDF; older fundamentals.</x:v>
      </x:c>
    </x:row>
    <x:row r="48">
      <x:c r="A48" s="20" t="str">
        <x:v>SRC-047</x:v>
      </x:c>
      <x:c r="B48" s="20" t="str">
        <x:v>LVDS/high-speed</x:v>
      </x:c>
      <x:c r="C48" s="20" t="str">
        <x:v>PCB transmission lines</x:v>
      </x:c>
      <x:c r="D48" s="20" t="str">
        <x:v>LVDS Owner's Manual Design Guide</x:v>
      </x:c>
      <x:c r="E48" s="20" t="str">
        <x:v>Texas Instruments</x:v>
      </x:c>
      <x:c r="F48" s="20" t="str">
        <x:v>Design guide PDF</x:v>
      </x:c>
      <x:c r="G48" s="20" t="str">
        <x:v>2011</x:v>
      </x:c>
      <x:c r="H48" s="20" t="str">
        <x:v>https://www.ti.com/lit/ug/snla187/snla187.pdf</x:v>
      </x:c>
      <x:c r="I48" s="20" t="n">
        <x:v>3</x:v>
      </x:c>
      <x:c r="J48" s="20" t="str">
        <x:v>Use for microstrip/stripline structures and practical differential routing basics.</x:v>
      </x:c>
      <x:c r="K48" s="20" t="str">
        <x:v>LVDS; microstrip; stripline; impedance; routing</x:v>
      </x:c>
      <x:c r="L48" s="20" t="str">
        <x:v>Public PDF.</x:v>
      </x:c>
    </x:row>
    <x:row r="49">
      <x:c r="A49" s="20" t="str">
        <x:v>SRC-048</x:v>
      </x:c>
      <x:c r="B49" s="20" t="str">
        <x:v>PCB EMC/ESD</x:v>
      </x:c>
      <x:c r="C49" s="20" t="str">
        <x:v>stack-up, high-speed, decoupling</x:v>
      </x:c>
      <x:c r="D49" s="20" t="str">
        <x:v>EMC and System-ESD Design Guidelines for Board Layout</x:v>
      </x:c>
      <x:c r="E49" s="20" t="str">
        <x:v>Infineon</x:v>
      </x:c>
      <x:c r="F49" s="20" t="str">
        <x:v>Application note PDF</x:v>
      </x:c>
      <x:c r="G49" s="20" t="str">
        <x:v>2016/2025 hosted</x:v>
      </x:c>
      <x:c r="H49" s="20" t="str">
        <x:v>https://www.infineon.com/assets/row/public/documents/30/42/infineon-ap2402635-general-pcb-applicationnotes-en.pdf</x:v>
      </x:c>
      <x:c r="I49" s="20" t="n">
        <x:v>5</x:v>
      </x:c>
      <x:c r="J49" s="20" t="str">
        <x:v>Core source for board-level EMC: routing high-speed, stack-up, power domains and ESD placement.</x:v>
      </x:c>
      <x:c r="K49" s="20" t="str">
        <x:v>PCB EMC; ESD; stack-up; high-speed; decoupling</x:v>
      </x:c>
      <x:c r="L49" s="20" t="str">
        <x:v>Public PDF.</x:v>
      </x:c>
    </x:row>
    <x:row r="50">
      <x:c r="A50" s="20" t="str">
        <x:v>SRC-049</x:v>
      </x:c>
      <x:c r="B50" s="20" t="str">
        <x:v>PCB EMC robustness</x:v>
      </x:c>
      <x:c r="C50" s="20" t="str">
        <x:v>sensor/automotive example</x:v>
      </x:c>
      <x:c r="D50" s="20" t="str">
        <x:v>Basic Design Consideration and Layout Recommendations for EMC Robustness</x:v>
      </x:c>
      <x:c r="E50" s="20" t="str">
        <x:v>Infineon</x:v>
      </x:c>
      <x:c r="F50" s="20" t="str">
        <x:v>Application note PDF</x:v>
      </x:c>
      <x:c r="G50" s="20" t="str">
        <x:v>2025</x:v>
      </x:c>
      <x:c r="H50" s="20" t="str">
        <x:v>https://www.infineon.com/assets/row/public/documents/24/42/infineon-basic-design-consideration-and-layout-recommendations-for-emc-robustness-applicationnotes-en.pdf</x:v>
      </x:c>
      <x:c r="I50" s="20" t="n">
        <x:v>3</x:v>
      </x:c>
      <x:c r="J50" s="20" t="str">
        <x:v>Use for checklist-style EMC robustness review around connector/sensor interfaces.</x:v>
      </x:c>
      <x:c r="K50" s="20" t="str">
        <x:v>EMC robustness; PCB layout; sensor; SENT</x:v>
      </x:c>
      <x:c r="L50" s="20" t="str">
        <x:v>Public PDF.</x:v>
      </x:c>
    </x:row>
    <x:row r="51">
      <x:c r="A51" s="20" t="str">
        <x:v>SRC-050</x:v>
      </x:c>
      <x:c r="B51" s="20" t="str">
        <x:v>AC/DC power</x:v>
      </x:c>
      <x:c r="C51" s="20" t="str">
        <x:v>45 W CoolSET design</x:v>
      </x:c>
      <x:c r="D51" s="20" t="str">
        <x:v>AC-DC Universal Input 45 W Power Supply Using CoolSET SiP ICE184ZCM</x:v>
      </x:c>
      <x:c r="E51" s="20" t="str">
        <x:v>Infineon</x:v>
      </x:c>
      <x:c r="F51" s="20" t="str">
        <x:v>Application note PDF</x:v>
      </x:c>
      <x:c r="G51" s="20" t="str">
        <x:v>2025</x:v>
      </x:c>
      <x:c r="H51" s="20" t="str">
        <x:v>https://www.infineon.com/assets/row/public/documents/24/42/infineon-ac-dc-universal-input-45w-power-supply-using-coolset-sip-ice184zcm-applicationnotes-en.pdf</x:v>
      </x:c>
      <x:c r="I51" s="20" t="n">
        <x:v>4</x:v>
      </x:c>
      <x:c r="J51" s="20" t="str">
        <x:v>Use for AC/DC SMPS reference-board layout, EMI measurements and transformer/filter context.</x:v>
      </x:c>
      <x:c r="K51" s="20" t="str">
        <x:v>AC/DC; flyback; CoolSET; EMI; PCB layout</x:v>
      </x:c>
      <x:c r="L51" s="20" t="str">
        <x:v>Public PDF.</x:v>
      </x:c>
    </x:row>
    <x:row r="52">
      <x:c r="A52" s="20" t="str">
        <x:v>SRC-051</x:v>
      </x:c>
      <x:c r="B52" s="20" t="str">
        <x:v>AC/DC power</x:v>
      </x:c>
      <x:c r="C52" s="20" t="str">
        <x:v>CoolMOS EMI optimization</x:v>
      </x:c>
      <x:c r="D52" s="20" t="str">
        <x:v>Optimizing CoolMOS CE Based Power Supplies to Meet EMI Requirements</x:v>
      </x:c>
      <x:c r="E52" s="20" t="str">
        <x:v>Infineon</x:v>
      </x:c>
      <x:c r="F52" s="20" t="str">
        <x:v>Application note PDF</x:v>
      </x:c>
      <x:c r="G52" s="20" t="str">
        <x:v>2016/2024 hosted</x:v>
      </x:c>
      <x:c r="H52" s="20" t="str">
        <x:v>https://www.infineon.com/assets/row/public/documents/24/42/infineon-applicationnote-optimizing-coolmosce-based-power-supplies-for-emi-applicationnotes-en.pdf</x:v>
      </x:c>
      <x:c r="I52" s="20" t="n">
        <x:v>4</x:v>
      </x:c>
      <x:c r="J52" s="20" t="str">
        <x:v>Use for AC/DC MOSFET switching-speed, transformer and EMI-filter tradeoffs.</x:v>
      </x:c>
      <x:c r="K52" s="20" t="str">
        <x:v>AC/DC; MOSFET; CoolMOS; EMI; transformer; filter</x:v>
      </x:c>
      <x:c r="L52" s="20" t="str">
        <x:v>Public PDF.</x:v>
      </x:c>
    </x:row>
    <x:row r="53">
      <x:c r="A53" s="20" t="str">
        <x:v>SRC-052</x:v>
      </x:c>
      <x:c r="B53" s="20" t="str">
        <x:v>USB / hardware checklist</x:v>
      </x:c>
      <x:c r="C53" s="20" t="str">
        <x:v>USB HS design checklist</x:v>
      </x:c>
      <x:c r="D53" s="20" t="str">
        <x:v>EZ-USB FX2G3 Hardware Design Guidelines and Schematic Checklist</x:v>
      </x:c>
      <x:c r="E53" s="20" t="str">
        <x:v>Infineon</x:v>
      </x:c>
      <x:c r="F53" s="20" t="str">
        <x:v>Application note PDF</x:v>
      </x:c>
      <x:c r="G53" s="20" t="str">
        <x:v>2026</x:v>
      </x:c>
      <x:c r="H53" s="20" t="str">
        <x:v>https://www.infineon.com/assets/row/public/documents/24/42/infineon-ez-usb-tm-fx2g3-hardware-design-guidelines-and-schematic-checklist-applicationnotes-en.pdf</x:v>
      </x:c>
      <x:c r="I53" s="20" t="n">
        <x:v>3</x:v>
      </x:c>
      <x:c r="J53" s="20" t="str">
        <x:v>Use for USB hardware design checklist including layout and reference-plane items.</x:v>
      </x:c>
      <x:c r="K53" s="20" t="str">
        <x:v>USB; checklist; schematic review; layout</x:v>
      </x:c>
      <x:c r="L53" s="20" t="str">
        <x:v>Public PDF.</x:v>
      </x:c>
    </x:row>
    <x:row r="54">
      <x:c r="A54" s="20" t="str">
        <x:v>SRC-053</x:v>
      </x:c>
      <x:c r="B54" s="20" t="str">
        <x:v>USB-C power</x:v>
      </x:c>
      <x:c r="C54" s="20" t="str">
        <x:v>PD MCU schematic/layout checklist</x:v>
      </x:c>
      <x:c r="D54" s="20" t="str">
        <x:v>EZ-PD PMG1 MCU Hardware Design Guidelines and Checklist</x:v>
      </x:c>
      <x:c r="E54" s="20" t="str">
        <x:v>Infineon</x:v>
      </x:c>
      <x:c r="F54" s="20" t="str">
        <x:v>Application note PDF</x:v>
      </x:c>
      <x:c r="G54" s="20" t="str">
        <x:v>2021</x:v>
      </x:c>
      <x:c r="H54" s="20" t="str">
        <x:v>https://www.infineon.com/assets/row/public/documents/24/42/infineon-an232565-ez-pd-pmg1-mcu-hardware-design-guidelines-and-checklist-applicationnotes-en.pdf</x:v>
      </x:c>
      <x:c r="I54" s="20" t="n">
        <x:v>3</x:v>
      </x:c>
      <x:c r="J54" s="20" t="str">
        <x:v>Use for USB-C/PD power-port hardware checklist, protection and PCB layout context.</x:v>
      </x:c>
      <x:c r="K54" s="20" t="str">
        <x:v>USB-C; PD; power; checklist; layout</x:v>
      </x:c>
      <x:c r="L54" s="20" t="str">
        <x:v>Public PDF.</x:v>
      </x:c>
    </x:row>
    <x:row r="55">
      <x:c r="A55" s="20" t="str">
        <x:v>SRC-054</x:v>
      </x:c>
      <x:c r="B55" s="20" t="str">
        <x:v>High-speed stack-up</x:v>
      </x:c>
      <x:c r="C55" s="20" t="str">
        <x:v>HSSI stack-up and impedance</x:v>
      </x:c>
      <x:c r="D55" s="20" t="str">
        <x:v>AP32488 PCB and High Speed Serial Interface Design Guidelines</x:v>
      </x:c>
      <x:c r="E55" s="20" t="str">
        <x:v>Infineon</x:v>
      </x:c>
      <x:c r="F55" s="20" t="str">
        <x:v>Web documentation</x:v>
      </x:c>
      <x:c r="G55" s="20" t="str">
        <x:v>2024</x:v>
      </x:c>
      <x:c r="H55" s="20" t="str">
        <x:v>https://documentation.infineon.com/aurixtc3xx/docs/ccf1710923485867</x:v>
      </x:c>
      <x:c r="I55" s="20" t="n">
        <x:v>4</x:v>
      </x:c>
      <x:c r="J55" s="20" t="str">
        <x:v>Use for high-speed stack-up, impedance-controlled routing and termination rules.</x:v>
      </x:c>
      <x:c r="K55" s="20" t="str">
        <x:v>HSSI; stack-up; impedance; termination; AURIX</x:v>
      </x:c>
      <x:c r="L55" s="20" t="str">
        <x:v>Public web docs.</x:v>
      </x:c>
    </x:row>
    <x:row r="56">
      <x:c r="A56" s="20" t="str">
        <x:v>SRC-055</x:v>
      </x:c>
      <x:c r="B56" s="20" t="str">
        <x:v>Ethernet stack-up</x:v>
      </x:c>
      <x:c r="C56" s="20" t="str">
        <x:v>Gbit Ethernet layout</x:v>
      </x:c>
      <x:c r="D56" s="20" t="str">
        <x:v>AP32368 PCB Design Guidelines for Gbit-Ethernet Interface</x:v>
      </x:c>
      <x:c r="E56" s="20" t="str">
        <x:v>Infineon</x:v>
      </x:c>
      <x:c r="F56" s="20" t="str">
        <x:v>Web documentation</x:v>
      </x:c>
      <x:c r="G56" s="20" t="str">
        <x:v>2024</x:v>
      </x:c>
      <x:c r="H56" s="20" t="str">
        <x:v>https://documentation.infineon.com/aurixtc3xx/docs/nof1710999169938</x:v>
      </x:c>
      <x:c r="I56" s="20" t="n">
        <x:v>4</x:v>
      </x:c>
      <x:c r="J56" s="20" t="str">
        <x:v>Use for Gbit Ethernet stack-up and impedance-controlled routing checklist.</x:v>
      </x:c>
      <x:c r="K56" s="20" t="str">
        <x:v>Gbit Ethernet; stack-up; impedance; differential pair</x:v>
      </x:c>
      <x:c r="L56" s="20" t="str">
        <x:v>Public web docs.</x:v>
      </x:c>
    </x:row>
    <x:row r="57">
      <x:c r="A57" s="20" t="str">
        <x:v>SRC-056</x:v>
      </x:c>
      <x:c r="B57" s="20" t="str">
        <x:v>PCB EMC basics</x:v>
      </x:c>
      <x:c r="C57" s="20" t="str">
        <x:v>return current and no split planes</x:v>
      </x:c>
      <x:c r="D57" s="20" t="str">
        <x:v>AN5240 Layout Recommendations for ST25R Devices</x:v>
      </x:c>
      <x:c r="E57" s="20" t="str">
        <x:v>STMicroelectronics</x:v>
      </x:c>
      <x:c r="F57" s="20" t="str">
        <x:v>Application note PDF</x:v>
      </x:c>
      <x:c r="G57" s="20" t="str">
        <x:v>2023</x:v>
      </x:c>
      <x:c r="H57" s="20" t="str">
        <x:v>https://www.st.com/resource/en/application_note/an5240-layout-recommendations-for-the-design-of-boards-with-the-st25r391616b-1717b-18-19b-and-2020b-devices-stmicroelectronics.pdf</x:v>
      </x:c>
      <x:c r="I57" s="20" t="n">
        <x:v>3</x:v>
      </x:c>
      <x:c r="J57" s="20" t="str">
        <x:v>Use for general return-current rules: do not route over gaps, use solid return plane, mixed-signal partitioning.</x:v>
      </x:c>
      <x:c r="K57" s="20" t="str">
        <x:v>return current; ground plane; EMC; mixed signal</x:v>
      </x:c>
      <x:c r="L57" s="20" t="str">
        <x:v>Public PDF.</x:v>
      </x:c>
    </x:row>
    <x:row r="58">
      <x:c r="A58" s="20" t="str">
        <x:v>SRC-057</x:v>
      </x:c>
      <x:c r="B58" s="20" t="str">
        <x:v>Component libraries</x:v>
      </x:c>
      <x:c r="C58" s="20" t="str">
        <x:v>ferrite bead SPICE netlists</x:v>
      </x:c>
      <x:c r="D58" s="20" t="str">
        <x:v>Ferrite Beads SPICE Data</x:v>
      </x:c>
      <x:c r="E58" s="20" t="str">
        <x:v>Murata</x:v>
      </x:c>
      <x:c r="F58" s="20" t="str">
        <x:v>Model library page</x:v>
      </x:c>
      <x:c r="G58" s="20" t="str">
        <x:v>current</x:v>
      </x:c>
      <x:c r="H58" s="20" t="str">
        <x:v>https://www.murata.com/en-eu/tool/data/spicedata/netlist-ferritebead</x:v>
      </x:c>
      <x:c r="I58" s="20" t="n">
        <x:v>4</x:v>
      </x:c>
      <x:c r="J58" s="20" t="str">
        <x:v>Use as a source for vendor ferrite bead netlists when building LTspice model importers.</x:v>
      </x:c>
      <x:c r="K58" s="20" t="str">
        <x:v>ferrite bead; SPICE; model library; EMI</x:v>
      </x:c>
      <x:c r="L58" s="20" t="str">
        <x:v>Public web page; model terms apply.</x:v>
      </x:c>
    </x:row>
    <x:row r="59">
      <x:c r="A59" s="20" t="str">
        <x:v>SRC-058</x:v>
      </x:c>
      <x:c r="B59" s="20" t="str">
        <x:v>Component libraries</x:v>
      </x:c>
      <x:c r="C59" s="20" t="str">
        <x:v>LTspice models</x:v>
      </x:c>
      <x:c r="D59" s="20" t="str">
        <x:v>Murata LTspice Library</x:v>
      </x:c>
      <x:c r="E59" s="20" t="str">
        <x:v>Murata</x:v>
      </x:c>
      <x:c r="F59" s="20" t="str">
        <x:v>Model library page</x:v>
      </x:c>
      <x:c r="G59" s="20" t="str">
        <x:v>current</x:v>
      </x:c>
      <x:c r="H59" s="20" t="str">
        <x:v>https://www.murata.com/en-global/tool/data/library/ltspice</x:v>
      </x:c>
      <x:c r="I59" s="20" t="n">
        <x:v>4</x:v>
      </x:c>
      <x:c r="J59" s="20" t="str">
        <x:v>Use for capacitors, inductors and ferrites in simulations; validate model scope and limits.</x:v>
      </x:c>
      <x:c r="K59" s="20" t="str">
        <x:v>LTspice; MLCC; inductor; ferrite; model</x:v>
      </x:c>
      <x:c r="L59" s="20" t="str">
        <x:v>Public web page; model terms apply.</x:v>
      </x:c>
    </x:row>
    <x:row r="60">
      <x:c r="A60" s="20" t="str">
        <x:v>SRC-059</x:v>
      </x:c>
      <x:c r="B60" s="20" t="str">
        <x:v>Component libraries</x:v>
      </x:c>
      <x:c r="C60" s="20" t="str">
        <x:v>SPICE libraries</x:v>
      </x:c>
      <x:c r="D60" s="20" t="str">
        <x:v>TDK SPICE Libraries</x:v>
      </x:c>
      <x:c r="E60" s="20" t="str">
        <x:v>TDK Electronics</x:v>
      </x:c>
      <x:c r="F60" s="20" t="str">
        <x:v>Model library page</x:v>
      </x:c>
      <x:c r="G60" s="20" t="str">
        <x:v>current</x:v>
      </x:c>
      <x:c r="H60" s="20" t="str">
        <x:v>https://www.tdk-electronics.tdk.com/en/3467182/design-support/design-tools/spice-libraries</x:v>
      </x:c>
      <x:c r="I60" s="20" t="n">
        <x:v>4</x:v>
      </x:c>
      <x:c r="J60" s="20" t="str">
        <x:v>Use as external model source for passive components; map part families and impedance behavior.</x:v>
      </x:c>
      <x:c r="K60" s="20" t="str">
        <x:v>SPICE; passive models; ferrite; inductor; capacitor</x:v>
      </x:c>
      <x:c r="L60" s="20" t="str">
        <x:v>Public web page; vendor terms apply.</x:v>
      </x:c>
    </x:row>
    <x:row r="61">
      <x:c r="A61" s="20" t="str">
        <x:v>SRC-060</x:v>
      </x:c>
      <x:c r="B61" s="20" t="str">
        <x:v>Component libraries</x:v>
      </x:c>
      <x:c r="C61" s="20" t="str">
        <x:v>chip bead EMI SPICE models</x:v>
      </x:c>
      <x:c r="D61" s="20" t="str">
        <x:v>Laird SPICE Model Documentation</x:v>
      </x:c>
      <x:c r="E61" s="20" t="str">
        <x:v>Laird Performance Materials</x:v>
      </x:c>
      <x:c r="F61" s="20" t="str">
        <x:v>Model documentation</x:v>
      </x:c>
      <x:c r="G61" s="20" t="str">
        <x:v>current</x:v>
      </x:c>
      <x:c r="H61" s="20" t="str">
        <x:v>https://www.laird.com/resources/reference-documents/spice-model-documentation</x:v>
      </x:c>
      <x:c r="I61" s="20" t="n">
        <x:v>3</x:v>
      </x:c>
      <x:c r="J61" s="20" t="str">
        <x:v>Use as model-source option for chip beads, including bias-sensitive behavior if applicable.</x:v>
      </x:c>
      <x:c r="K61" s="20" t="str">
        <x:v>chip bead; EMI; SPICE; DC bias; model</x:v>
      </x:c>
      <x:c r="L61" s="20" t="str">
        <x:v>Public web page; vendor terms apply.</x:v>
      </x:c>
    </x:row>
    <x:row r="62">
      <x:c r="A62" s="20" t="str">
        <x:v>SRC-061</x:v>
      </x:c>
      <x:c r="B62" s="20" t="str">
        <x:v>PCB manufacturing</x:v>
      </x:c>
      <x:c r="C62" s="20" t="str">
        <x:v>DFM rules and design guidelines</x:v>
      </x:c>
      <x:c r="D62" s="20" t="str">
        <x:v>PCB Design Guidelines</x:v>
      </x:c>
      <x:c r="E62" s="20" t="str">
        <x:v>Eurocircuits</x:v>
      </x:c>
      <x:c r="F62" s="20" t="str">
        <x:v>Technical guidelines</x:v>
      </x:c>
      <x:c r="G62" s="20" t="str">
        <x:v>current</x:v>
      </x:c>
      <x:c r="H62" s="20" t="str">
        <x:v>https://www.eurocircuits.com/technical-guidelines/pcb-design-guidelines/</x:v>
      </x:c>
      <x:c r="I62" s="20" t="n">
        <x:v>5</x:v>
      </x:c>
      <x:c r="J62" s="20" t="str">
        <x:v>Core source for PCB DFM constraints: clearances, drill sizes, annular rings, manufacturable features.</x:v>
      </x:c>
      <x:c r="K62" s="20" t="str">
        <x:v>DFM; PCB manufacturing; clearance; drills; annular ring</x:v>
      </x:c>
      <x:c r="L62" s="20" t="str">
        <x:v>Public web page.</x:v>
      </x:c>
    </x:row>
    <x:row r="63">
      <x:c r="A63" s="20" t="str">
        <x:v>SRC-062</x:v>
      </x:c>
      <x:c r="B63" s="20" t="str">
        <x:v>PCB manufacturing</x:v>
      </x:c>
      <x:c r="C63" s="20" t="str">
        <x:v>Gerber metadata and design rules</x:v>
      </x:c>
      <x:c r="D63" s="20" t="str">
        <x:v>Gerber X2plus</x:v>
      </x:c>
      <x:c r="E63" s="20" t="str">
        <x:v>Eurocircuits</x:v>
      </x:c>
      <x:c r="F63" s="20" t="str">
        <x:v>Technical guideline</x:v>
      </x:c>
      <x:c r="G63" s="20" t="str">
        <x:v>current</x:v>
      </x:c>
      <x:c r="H63" s="20" t="str">
        <x:v>https://www.eurocircuits.com/technical-guidelines/gerber-format/gerber-x2plus/</x:v>
      </x:c>
      <x:c r="I63" s="20" t="n">
        <x:v>4</x:v>
      </x:c>
      <x:c r="J63" s="20" t="str">
        <x:v>Use for explaining manufacturable data export and metadata useful to fabricators.</x:v>
      </x:c>
      <x:c r="K63" s="20" t="str">
        <x:v>Gerber X2; fabrication data; design rules; CAM</x:v>
      </x:c>
      <x:c r="L63" s="20" t="str">
        <x:v>Public web page.</x:v>
      </x:c>
    </x:row>
    <x:row r="64">
      <x:c r="A64" s="20" t="str">
        <x:v>SRC-063</x:v>
      </x:c>
      <x:c r="B64" s="20" t="str">
        <x:v>PCB manufacturing</x:v>
      </x:c>
      <x:c r="C64" s="20" t="str">
        <x:v>front-end engineering</x:v>
      </x:c>
      <x:c r="D64" s="20" t="str">
        <x:v>PCB Front-End Data Preparation</x:v>
      </x:c>
      <x:c r="E64" s="20" t="str">
        <x:v>Eurocircuits</x:v>
      </x:c>
      <x:c r="F64" s="20" t="str">
        <x:v>Technical article</x:v>
      </x:c>
      <x:c r="G64" s="20" t="str">
        <x:v>current</x:v>
      </x:c>
      <x:c r="H64" s="20" t="str">
        <x:v>https://www.eurocircuits.com/frontend-data-preparation/</x:v>
      </x:c>
      <x:c r="I64" s="20" t="n">
        <x:v>4</x:v>
      </x:c>
      <x:c r="J64" s="20" t="str">
        <x:v>Use to teach agents what fabricators do with Gerbers/CAD data before production.</x:v>
      </x:c>
      <x:c r="K64" s="20" t="str">
        <x:v>CAM; Gerber; data prep; DFM; fabrication</x:v>
      </x:c>
      <x:c r="L64" s="20" t="str">
        <x:v>Public web page.</x:v>
      </x:c>
    </x:row>
    <x:row r="65">
      <x:c r="A65" s="20" t="str">
        <x:v>SRC-064</x:v>
      </x:c>
      <x:c r="B65" s="20" t="str">
        <x:v>PCB manufacturing</x:v>
      </x:c>
      <x:c r="C65" s="20" t="str">
        <x:v>quality and electrical test</x:v>
      </x:c>
      <x:c r="D65" s="20" t="str">
        <x:v>During Production</x:v>
      </x:c>
      <x:c r="E65" s="20" t="str">
        <x:v>Eurocircuits</x:v>
      </x:c>
      <x:c r="F65" s="20" t="str">
        <x:v>Technical guideline</x:v>
      </x:c>
      <x:c r="G65" s="20" t="str">
        <x:v>current</x:v>
      </x:c>
      <x:c r="H65" s="20" t="str">
        <x:v>https://www.eurocircuits.com/technical-guidelines/quality/during-production/</x:v>
      </x:c>
      <x:c r="I65" s="20" t="n">
        <x:v>4</x:v>
      </x:c>
      <x:c r="J65" s="20" t="str">
        <x:v>Use for production requirements: netlist electrical test, soldermask checks, registration and quality controls.</x:v>
      </x:c>
      <x:c r="K65" s="20" t="str">
        <x:v>production; electrical test; soldermask; quality</x:v>
      </x:c>
      <x:c r="L65" s="20" t="str">
        <x:v>Public web page.</x:v>
      </x:c>
    </x:row>
    <x:row r="66">
      <x:c r="A66" s="20" t="str">
        <x:v>SRC-065</x:v>
      </x:c>
      <x:c r="B66" s="20" t="str">
        <x:v>PCB manufacturing</x:v>
      </x:c>
      <x:c r="C66" s="20" t="str">
        <x:v>via filling</x:v>
      </x:c>
      <x:c r="D66" s="20" t="str">
        <x:v>Via Filling</x:v>
      </x:c>
      <x:c r="E66" s="20" t="str">
        <x:v>Eurocircuits</x:v>
      </x:c>
      <x:c r="F66" s="20" t="str">
        <x:v>Technical guideline</x:v>
      </x:c>
      <x:c r="G66" s="20" t="str">
        <x:v>current</x:v>
      </x:c>
      <x:c r="H66" s="20" t="str">
        <x:v>https://www.eurocircuits.com/technical-guidelines/pcb-design-guidelines/via-filling/</x:v>
      </x:c>
      <x:c r="I66" s="20" t="n">
        <x:v>3</x:v>
      </x:c>
      <x:c r="J66" s="20" t="str">
        <x:v>Use for via-in-pad, sealed via and manufacturability decisions.</x:v>
      </x:c>
      <x:c r="K66" s="20" t="str">
        <x:v>via filling; via-in-pad; DFM; HDI</x:v>
      </x:c>
      <x:c r="L66" s="20" t="str">
        <x:v>Public web page.</x:v>
      </x:c>
    </x:row>
    <x:row r="67">
      <x:c r="A67" s="20" t="str">
        <x:v>SRC-066</x:v>
      </x:c>
      <x:c r="B67" s="20" t="str">
        <x:v>PCB manufacturing</x:v>
      </x:c>
      <x:c r="C67" s="20" t="str">
        <x:v>annular rings and finished hole size</x:v>
      </x:c>
      <x:c r="D67" s="20" t="str">
        <x:v>Understanding Annular Rings</x:v>
      </x:c>
      <x:c r="E67" s="20" t="str">
        <x:v>Eurocircuits</x:v>
      </x:c>
      <x:c r="F67" s="20" t="str">
        <x:v>Technical article</x:v>
      </x:c>
      <x:c r="G67" s="20" t="str">
        <x:v>2021</x:v>
      </x:c>
      <x:c r="H67" s="20" t="str">
        <x:v>https://www.eurocircuits.com/tips-tricks/understanding-annular-rings/</x:v>
      </x:c>
      <x:c r="I67" s="20" t="n">
        <x:v>4</x:v>
      </x:c>
      <x:c r="J67" s="20" t="str">
        <x:v>Use for DFM checks around drill diameter, finished hole size and annular ring calculations.</x:v>
      </x:c>
      <x:c r="K67" s="20" t="str">
        <x:v>annular ring; drill; finished hole; plating; DFM</x:v>
      </x:c>
      <x:c r="L67" s="20" t="str">
        <x:v>Public web page.</x:v>
      </x:c>
    </x:row>
    <x:row r="68">
      <x:c r="A68" s="20" t="str">
        <x:v>SRC-067</x:v>
      </x:c>
      <x:c r="B68" s="20" t="str">
        <x:v>PCB manufacturing</x:v>
      </x:c>
      <x:c r="C68" s="20" t="str">
        <x:v>capabilities and limits</x:v>
      </x:c>
      <x:c r="D68" s="20" t="str">
        <x:v>PCB Manufacturing &amp; Assembly Capabilities</x:v>
      </x:c>
      <x:c r="E68" s="20" t="str">
        <x:v>JLCPCB</x:v>
      </x:c>
      <x:c r="F68" s="20" t="str">
        <x:v>Capabilities page</x:v>
      </x:c>
      <x:c r="G68" s="20" t="str">
        <x:v>current</x:v>
      </x:c>
      <x:c r="H68" s="20" t="str">
        <x:v>https://jlcpcb.com/capabilities/pcb-capabilities</x:v>
      </x:c>
      <x:c r="I68" s="20" t="n">
        <x:v>4</x:v>
      </x:c>
      <x:c r="J68" s="20" t="str">
        <x:v>Use to parameterize manufacturability checks by actual fabricator capabilities.</x:v>
      </x:c>
      <x:c r="K68" s="20" t="str">
        <x:v>PCB capabilities; DFM; trace width; drill; stack-up</x:v>
      </x:c>
      <x:c r="L68" s="20" t="str">
        <x:v>Public web page; manufacturer-specific limits.</x:v>
      </x:c>
    </x:row>
    <x:row r="69">
      <x:c r="A69" s="20" t="str">
        <x:v>SRC-068</x:v>
      </x:c>
      <x:c r="B69" s="20" t="str">
        <x:v>PCB manufacturing</x:v>
      </x:c>
      <x:c r="C69" s="20" t="str">
        <x:v>impedance calculator</x:v>
      </x:c>
      <x:c r="D69" s="20" t="str">
        <x:v>User Guide to the JLCPCB Impedance Calculator</x:v>
      </x:c>
      <x:c r="E69" s="20" t="str">
        <x:v>JLCPCB</x:v>
      </x:c>
      <x:c r="F69" s="20" t="str">
        <x:v>Help article</x:v>
      </x:c>
      <x:c r="G69" s="20" t="str">
        <x:v>2026</x:v>
      </x:c>
      <x:c r="H69" s="20" t="str">
        <x:v>https://jlcpcb.com/help/article/user-guide-to-the-jlcpcb-impedance-calculator</x:v>
      </x:c>
      <x:c r="I69" s="20" t="n">
        <x:v>4</x:v>
      </x:c>
      <x:c r="J69" s="20" t="str">
        <x:v>Use for controlled-impedance workflow: target Z, stack-up inputs and routing geometry.</x:v>
      </x:c>
      <x:c r="K69" s="20" t="str">
        <x:v>impedance; stack-up; differential pair; calculator</x:v>
      </x:c>
      <x:c r="L69" s="20" t="str">
        <x:v>Public web page; manufacturer-specific.</x:v>
      </x:c>
    </x:row>
    <x:row r="70">
      <x:c r="A70" s="20" t="str">
        <x:v>SRC-069</x:v>
      </x:c>
      <x:c r="B70" s="20" t="str">
        <x:v>PCB manufacturing</x:v>
      </x:c>
      <x:c r="C70" s="20" t="str">
        <x:v>schematic-layout-DFM rules</x:v>
      </x:c>
      <x:c r="D70" s="20" t="str">
        <x:v>PCB Design Rules and Guidelines: Best Practices Guide</x:v>
      </x:c>
      <x:c r="E70" s="20" t="str">
        <x:v>JLCPCB</x:v>
      </x:c>
      <x:c r="F70" s="20" t="str">
        <x:v>Blog guide</x:v>
      </x:c>
      <x:c r="G70" s="20" t="str">
        <x:v>2025</x:v>
      </x:c>
      <x:c r="H70" s="20" t="str">
        <x:v>https://jlcpcb.com/blog/pcb-design-rules-best-practices</x:v>
      </x:c>
      <x:c r="I70" s="20" t="n">
        <x:v>3</x:v>
      </x:c>
      <x:c r="J70" s="20" t="str">
        <x:v>Use as general DFM/DFA checklist; verify against actual fab capabilities before final advice.</x:v>
      </x:c>
      <x:c r="K70" s="20" t="str">
        <x:v>PCB design rules; DFM; layout; schematic; assembly</x:v>
      </x:c>
      <x:c r="L70" s="20" t="str">
        <x:v>Public web page; vendor blog.</x:v>
      </x:c>
    </x:row>
    <x:row r="71">
      <x:c r="A71" s="20" t="str">
        <x:v>SRC-070</x:v>
      </x:c>
      <x:c r="B71" s="20" t="str">
        <x:v>PCB manufacturing</x:v>
      </x:c>
      <x:c r="C71" s="20" t="str">
        <x:v>DFM constraints</x:v>
      </x:c>
      <x:c r="D71" s="20" t="str">
        <x:v>DFM Rules</x:v>
      </x:c>
      <x:c r="E71" s="20" t="str">
        <x:v>Sierra Circuits / ProtoExpress</x:v>
      </x:c>
      <x:c r="F71" s="20" t="str">
        <x:v>Knowledge-base article</x:v>
      </x:c>
      <x:c r="G71" s="20" t="str">
        <x:v>current</x:v>
      </x:c>
      <x:c r="H71" s="20" t="str">
        <x:v>https://www.protoexpress.com/kb/dfm-rules/</x:v>
      </x:c>
      <x:c r="I71" s="20" t="n">
        <x:v>3</x:v>
      </x:c>
      <x:c r="J71" s="20" t="str">
        <x:v>Use as secondary source for DFM categories: trace width, drill, edge clearance, blind/buried vias.</x:v>
      </x:c>
      <x:c r="K71" s="20" t="str">
        <x:v>DFM; PCB capabilities; drill; clearance; vias</x:v>
      </x:c>
      <x:c r="L71" s="20" t="str">
        <x:v>Public web page; vendor-specific.</x:v>
      </x:c>
    </x:row>
  </x:sheetData>
  <x:conditionalFormatting sqref="I2:I71">
    <x:cfRule type="colorScale" priority="1">
      <x:colorScale>
        <x:cfvo type="min"/>
        <x:cfvo type="percentile" val="50"/>
        <x:cfvo type="max"/>
        <x:color rgb="FEE2E2"/>
        <x:color rgb="FEF3C7"/>
        <x:color rgb="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69d70e4bf7264c3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55" hidden="0" customWidth="1"/>
    <x:col min="4" max="4" width="45" hidden="0" customWidth="1"/>
    <x:col min="5" max="5" width="20" hidden="0" customWidth="1"/>
    <x:col min="6" max="6" width="45" hidden="0" customWidth="1"/>
  </x:cols>
  <x:sheetData>
    <x:row r="1" ht="28" customHeight="1">
      <x:c r="A1" s="17" t="str">
        <x:v>Rule ID</x:v>
      </x:c>
      <x:c r="B1" s="17" t="str">
        <x:v>Obszar</x:v>
      </x:c>
      <x:c r="C1" s="17" t="str">
        <x:v>Reguła praktyczna</x:v>
      </x:c>
      <x:c r="D1" s="17" t="str">
        <x:v>Uzasadnienie</x:v>
      </x:c>
      <x:c r="E1" s="17" t="str">
        <x:v>Źródła</x:v>
      </x:c>
      <x:c r="F1" s="17" t="str">
        <x:v>Akcja agenta</x:v>
      </x:c>
    </x:row>
    <x:row r="2">
      <x:c r="A2" s="20" t="str">
        <x:v>R-001</x:v>
      </x:c>
      <x:c r="B2" s="20" t="str">
        <x:v>Schemat / EMC ogólne</x:v>
      </x:c>
      <x:c r="C2" s="20" t="str">
        <x:v>Dla każdego problemu EMC identyfikuj: źródło, ścieżkę sprzężenia i ofiarę/odbiornik.</x:v>
      </x:c>
      <x:c r="D2" s="20" t="str">
        <x:v>Zmusza agenta do diagnozy zamiast losowego dodawania filtrów.</x:v>
      </x:c>
      <x:c r="E2" s="20" t="str">
        <x:v>SRC-026; SRC-030</x:v>
      </x:c>
      <x:c r="F2" s="20" t="str">
        <x:v>Agent powinien najpierw zapytać/wywnioskować źródło zakłóceń, ścieżkę i receptor.</x:v>
      </x:c>
    </x:row>
    <x:row r="3">
      <x:c r="A3" s="20" t="str">
        <x:v>R-002</x:v>
      </x:c>
      <x:c r="B3" s="20" t="str">
        <x:v>Przewodzone EMI</x:v>
      </x:c>
      <x:c r="C3" s="20" t="str">
        <x:v>Rozdzielaj zakłócenia na differential-mode i common-mode przed doborem filtra.</x:v>
      </x:c>
      <x:c r="D3" s="20" t="str">
        <x:v>DM i CM wymagają innych elementów i innych ścieżek prądu.</x:v>
      </x:c>
      <x:c r="E3" s="20" t="str">
        <x:v>SRC-001; SRC-003; SRC-021; SRC-022</x:v>
      </x:c>
      <x:c r="F3" s="20" t="str">
        <x:v>Agent powinien proponować pomiar/symulację CM/DM albo test wariantów filtra osobno.</x:v>
      </x:c>
    </x:row>
    <x:row r="4">
      <x:c r="A4" s="20" t="str">
        <x:v>R-003</x:v>
      </x:c>
      <x:c r="B4" s="20" t="str">
        <x:v>LTspice / testbench</x:v>
      </x:c>
      <x:c r="C4" s="20" t="str">
        <x:v>Dla pre-compliance conducted EMI generuj LISN, przewody z pasożytami, punkt pomiarowy 50 Ω oraz osobne wyniki CM/DM.</x:v>
      </x:c>
      <x:c r="D4" s="20" t="str">
        <x:v>Bez LISN i impedancji pomiarowych widmo bywa mylące.</x:v>
      </x:c>
      <x:c r="E4" s="20" t="str">
        <x:v>SRC-001; SRC-022</x:v>
      </x:c>
      <x:c r="F4" s="20" t="str">
        <x:v>Agent powinien generować gotowy testbench LTspice, nie tylko opis filtra.</x:v>
      </x:c>
    </x:row>
    <x:row r="5">
      <x:c r="A5" s="20" t="str">
        <x:v>R-004</x:v>
      </x:c>
      <x:c r="B5" s="20" t="str">
        <x:v>DC/DC layout</x:v>
      </x:c>
      <x:c r="C5" s="20" t="str">
        <x:v>Minimalizuj pętlę hot-loop: wejściowy kondensator, przełącznik, dioda/MOSFET i powrót muszą być fizycznie blisko.</x:v>
      </x:c>
      <x:c r="D5" s="20" t="str">
        <x:v>Duża pętla o wysokim di/dt zwiększa emisję i dzwonienia.</x:v>
      </x:c>
      <x:c r="E5" s="20" t="str">
        <x:v>SRC-031; SRC-044; SRC-023; SRC-024</x:v>
      </x:c>
      <x:c r="F5" s="20" t="str">
        <x:v>Agent powinien oznaczać hot-loop na schemacie/netliście i generować checklistę PCB.</x:v>
      </x:c>
    </x:row>
    <x:row r="6">
      <x:c r="A6" s="20" t="str">
        <x:v>R-005</x:v>
      </x:c>
      <x:c r="B6" s="20" t="str">
        <x:v>Filtr wejściowy DC/DC</x:v>
      </x:c>
      <x:c r="C6" s="20" t="str">
        <x:v>Sprawdzaj rezonans filtra wejściowego z MLCC i przewodami; dodawaj tłumienie, gdy pojawia się peaking.</x:v>
      </x:c>
      <x:c r="D6" s="20" t="str">
        <x:v>Filtr LC może wzmacniać zakłócenia i destabilizować przetwornicę.</x:v>
      </x:c>
      <x:c r="E6" s="20" t="str">
        <x:v>SRC-006; SRC-023; SRC-024</x:v>
      </x:c>
      <x:c r="F6" s="20" t="str">
        <x:v>Agent powinien wykonywać sweep ESR/damping i ostrzegać przed wysokim Q.</x:v>
      </x:c>
    </x:row>
    <x:row r="7">
      <x:c r="A7" s="20" t="str">
        <x:v>R-006</x:v>
      </x:c>
      <x:c r="B7" s="20" t="str">
        <x:v>Kondensatory odsprzęgające</x:v>
      </x:c>
      <x:c r="C7" s="20" t="str">
        <x:v>Kondensator HF musi mieć bardzo krótką pętlę do pinu zasilania i płaszczyzny odniesienia; same wartości pojemności nie wystarczą.</x:v>
      </x:c>
      <x:c r="D7" s="20" t="str">
        <x:v>ESL i indukcyjność via/ścieżek często dominują powyżej kilku-kilkunastu MHz.</x:v>
      </x:c>
      <x:c r="E7" s="20" t="str">
        <x:v>SRC-010; SRC-015; SRC-025</x:v>
      </x:c>
      <x:c r="F7" s="20" t="str">
        <x:v>Agent powinien oceniać rozmieszczenie, liczbę via i orientację kondensatora.</x:v>
      </x:c>
    </x:row>
    <x:row r="8">
      <x:c r="A8" s="20" t="str">
        <x:v>R-007</x:v>
      </x:c>
      <x:c r="B8" s="20" t="str">
        <x:v>MLCC</x:v>
      </x:c>
      <x:c r="C8" s="20" t="str">
        <x:v>Uwzględniaj DC bias, ESR/ESL i SRF; nominalna pojemność z BOM nie jest pojemnością w układzie.</x:v>
      </x:c>
      <x:c r="D8" s="20" t="str">
        <x:v>Modele idealne przeceniają skuteczność filtracji i odsprzęgania.</x:v>
      </x:c>
      <x:c r="E8" s="20" t="str">
        <x:v>SRC-018; SRC-024; SRC-025; SRC-058</x:v>
      </x:c>
      <x:c r="F8" s="20" t="str">
        <x:v>Agent powinien preferować modele częstotliwościowe lub przynajmniej serię RLC.</x:v>
      </x:c>
    </x:row>
    <x:row r="9">
      <x:c r="A9" s="20" t="str">
        <x:v>R-008</x:v>
      </x:c>
      <x:c r="B9" s="20" t="str">
        <x:v>Stack-up</x:v>
      </x:c>
      <x:c r="C9" s="20" t="str">
        <x:v>Sygnały szybkie prowadź nad ciągłą płaszczyzną odniesienia; nie przecinaj szczelin w referencji.</x:v>
      </x:c>
      <x:c r="D9" s="20" t="str">
        <x:v>Prąd powrotny musi mieć krótki, ciągły tor; objazdy tworzą antenę pętlową i przesłuchy.</x:v>
      </x:c>
      <x:c r="E9" s="20" t="str">
        <x:v>SRC-034; SRC-035; SRC-048; SRC-056</x:v>
      </x:c>
      <x:c r="F9" s="20" t="str">
        <x:v>Agent powinien sprawdzać referencję każdej krytycznej ścieżki oraz przejścia przez via.</x:v>
      </x:c>
    </x:row>
    <x:row r="10">
      <x:c r="A10" s="20" t="str">
        <x:v>R-009</x:v>
      </x:c>
      <x:c r="B10" s="20" t="str">
        <x:v>Stack-up / PDN</x:v>
      </x:c>
      <x:c r="C10" s="20" t="str">
        <x:v>Zbliżenie płaszczyzn power-ground poprawia HF bypassing przez pojemność międzypłaszczyznową.</x:v>
      </x:c>
      <x:c r="D10" s="20" t="str">
        <x:v>Mała separacja płaszczyzn obniża indukcyjność PDN i ogranicza rozprzestrzenianie HF noise.</x:v>
      </x:c>
      <x:c r="E10" s="20" t="str">
        <x:v>SRC-008; SRC-009; SRC-054</x:v>
      </x:c>
      <x:c r="F10" s="20" t="str">
        <x:v>Agent powinien sugerować stack-up z bliską parą PWR/GND dla szybkich/zakłócających układów.</x:v>
      </x:c>
    </x:row>
    <x:row r="11">
      <x:c r="A11" s="20" t="str">
        <x:v>R-010</x:v>
      </x:c>
      <x:c r="B11" s="20" t="str">
        <x:v>Kable i ścieżki</x:v>
      </x:c>
      <x:c r="C11" s="20" t="str">
        <x:v>Długie przewody i ścieżki traktuj jako linie transmisyjne, gdy czas propagacji staje się istotny względem czasu narastania.</x:v>
      </x:c>
      <x:c r="D11" s="20" t="str">
        <x:v>Modele lumped RLC przestają wystarczać przy szybkich zboczach.</x:v>
      </x:c>
      <x:c r="E11" s="20" t="str">
        <x:v>SRC-013; SRC-046; SRC-047; SRC-016</x:v>
      </x:c>
      <x:c r="F11" s="20" t="str">
        <x:v>Agent powinien wybrać model: lumped RLC, sekcje RLGC lub linia transmisyjna.</x:v>
      </x:c>
    </x:row>
    <x:row r="12">
      <x:c r="A12" s="20" t="str">
        <x:v>R-011</x:v>
      </x:c>
      <x:c r="B12" s="20" t="str">
        <x:v>Szybkie interfejsy</x:v>
      </x:c>
      <x:c r="C12" s="20" t="str">
        <x:v>ESD/EMI protection umieszczaj jak najbliżej złącza, przed długim odcinkiem niezabezpieczonej ścieżki.</x:v>
      </x:c>
      <x:c r="D12" s="20" t="str">
        <x:v>Krótki odcinek od złącza do ochrony ogranicza wstrzyknięcie zakłóceń w płytę.</x:v>
      </x:c>
      <x:c r="E12" s="20" t="str">
        <x:v>SRC-035; SRC-037; SRC-052</x:v>
      </x:c>
      <x:c r="F12" s="20" t="str">
        <x:v>Agent powinien flagować długie niezabezpieczone odcinki między złączem i ESD.</x:v>
      </x:c>
    </x:row>
    <x:row r="13">
      <x:c r="A13" s="20" t="str">
        <x:v>R-012</x:v>
      </x:c>
      <x:c r="B13" s="20" t="str">
        <x:v>USB</x:v>
      </x:c>
      <x:c r="C13" s="20" t="str">
        <x:v>Common-mode choke na USB traktuj jako opcję EMI, ale sprawdzaj degradację SI; ESD zwykle bliżej złącza niż CMC.</x:v>
      </x:c>
      <x:c r="D13" s="20" t="str">
        <x:v>CMC może poprawić EMI, ale pogarszać eye diagram/straty.</x:v>
      </x:c>
      <x:c r="E13" s="20" t="str">
        <x:v>SRC-037; SRC-035; SRC-052</x:v>
      </x:c>
      <x:c r="F13" s="20" t="str">
        <x:v>Agent powinien zalecać footprint z obejściem lub warianty A/B, nie obligatoryjny CMC.</x:v>
      </x:c>
    </x:row>
    <x:row r="14">
      <x:c r="A14" s="20" t="str">
        <x:v>R-013</x:v>
      </x:c>
      <x:c r="B14" s="20" t="str">
        <x:v>CAN/RS-485</x:v>
      </x:c>
      <x:c r="C14" s="20" t="str">
        <x:v>Terminacja, split termination, TVS i CMC muszą być dobrane do topologii, prędkości i wymagań EMC; CMC nie jest darmowym filtrem.</x:v>
      </x:c>
      <x:c r="D14" s="20" t="str">
        <x:v>Elementy CM mogą generować transjenty lub zniekształcać sygnał, jeśli są źle dobrane.</x:v>
      </x:c>
      <x:c r="E14" s="20" t="str">
        <x:v>SRC-038; SRC-039; SRC-046</x:v>
      </x:c>
      <x:c r="F14" s="20" t="str">
        <x:v>Agent powinien rozróżnić EMC, odporność i integralność sygnału.</x:v>
      </x:c>
    </x:row>
    <x:row r="15">
      <x:c r="A15" s="20" t="str">
        <x:v>R-014</x:v>
      </x:c>
      <x:c r="B15" s="20" t="str">
        <x:v>Ethernet/SPE</x:v>
      </x:c>
      <x:c r="C15" s="20" t="str">
        <x:v>Dla Ethernetu zwracaj uwagę na magnetics/CMC, powiązanie z chassis, zasilanie PHY i zegary.</x:v>
      </x:c>
      <x:c r="D15" s="20" t="str">
        <x:v>Emisje często przechodzą przez kabel i sprzężenia common-mode.</x:v>
      </x:c>
      <x:c r="E15" s="20" t="str">
        <x:v>SRC-040; SRC-041; SRC-042; SRC-055</x:v>
      </x:c>
      <x:c r="F15" s="20" t="str">
        <x:v>Agent powinien analizować interfejs jako system: PHY, magnetics, cable, chassis.</x:v>
      </x:c>
    </x:row>
    <x:row r="16">
      <x:c r="A16" s="20" t="str">
        <x:v>R-015</x:v>
      </x:c>
      <x:c r="B16" s="20" t="str">
        <x:v>AC/DC</x:v>
      </x:c>
      <x:c r="C16" s="20" t="str">
        <x:v>W filtrach sieciowych osobno analizuj ścieżki L/N/PE, prądy CM/DM i bezpieczeństwo kondensatorów X/Y.</x:v>
      </x:c>
      <x:c r="D16" s="20" t="str">
        <x:v>Filtr EMI AC/DC jest powiązany z bezpieczeństwem, upływem i normami.</x:v>
      </x:c>
      <x:c r="E16" s="20" t="str">
        <x:v>SRC-022; SRC-050; SRC-051</x:v>
      </x:c>
      <x:c r="F16" s="20" t="str">
        <x:v>Agent powinien stosować ostrzeżenia safety i nie sugerować niecertyfikowanych elementów Y/X.</x:v>
      </x:c>
    </x:row>
    <x:row r="17">
      <x:c r="A17" s="20" t="str">
        <x:v>R-016</x:v>
      </x:c>
      <x:c r="B17" s="20" t="str">
        <x:v>AC/DC flyback</x:v>
      </x:c>
      <x:c r="C17" s="20" t="str">
        <x:v>Minimalizuj pętlę pierwotną impulsową, kontroluj snubber/clamp i pojemność transformatora między pierwotnym a wtórnym.</x:v>
      </x:c>
      <x:c r="D17" s="20" t="str">
        <x:v>Piki napięciowe i pojemności transformatora są częstymi źródłami EMI.</x:v>
      </x:c>
      <x:c r="E17" s="20" t="str">
        <x:v>SRC-050; SRC-051; SRC-020</x:v>
      </x:c>
      <x:c r="F17" s="20" t="str">
        <x:v>Agent powinien proponować snubber sweep i analizę transformatora/parasitics.</x:v>
      </x:c>
    </x:row>
    <x:row r="18">
      <x:c r="A18" s="20" t="str">
        <x:v>R-017</x:v>
      </x:c>
      <x:c r="B18" s="20" t="str">
        <x:v>Radiated później</x:v>
      </x:c>
      <x:c r="C18" s="20" t="str">
        <x:v>Radiated EMI zaczynaj od redukcji źródła i pętli prądowych; ekranowanie zostaw jako środek systemowy, nie pierwszy plaster.</x:v>
      </x:c>
      <x:c r="D18" s="20" t="str">
        <x:v>Źle zaprojektowane PCB/kabel potrafi promieniować mimo filtrów na zasilaniu.</x:v>
      </x:c>
      <x:c r="E18" s="20" t="str">
        <x:v>SRC-008; SRC-026; SRC-042</x:v>
      </x:c>
      <x:c r="F18" s="20" t="str">
        <x:v>Agent powinien unikać obietnicy certyfikacji bez danych mechanicznych, kabli i pomiarów.</x:v>
      </x:c>
    </x:row>
    <x:row r="19">
      <x:c r="A19" s="20" t="str">
        <x:v>R-018</x:v>
      </x:c>
      <x:c r="B19" s="20" t="str">
        <x:v>DFM</x:v>
      </x:c>
      <x:c r="C19" s="20" t="str">
        <x:v>Każdą regułę PCB sprawdzaj wobec konkretnego producenta: minimalna ścieżka/odstęp, wiercenia, annular ring, via fill, soldermask.</x:v>
      </x:c>
      <x:c r="D19" s="20" t="str">
        <x:v>DFM jest producentozależne; uniwersalne liczby mogą być błędne lub kosztowne.</x:v>
      </x:c>
      <x:c r="E19" s="20" t="str">
        <x:v>SRC-061; SRC-067; SRC-066; SRC-070</x:v>
      </x:c>
      <x:c r="F19" s="20" t="str">
        <x:v>Agent powinien pytać o fab house lub przyjmować profil produkcyjny.</x:v>
      </x:c>
    </x:row>
    <x:row r="20">
      <x:c r="A20" s="20" t="str">
        <x:v>R-019</x:v>
      </x:c>
      <x:c r="B20" s="20" t="str">
        <x:v>Impedancja kontrolowana</x:v>
      </x:c>
      <x:c r="C20" s="20" t="str">
        <x:v>Nie projektuj impedancji z samych szerokości ścieżek bez stack-upu i dielektryka od producenta.</x:v>
      </x:c>
      <x:c r="D20" s="20" t="str">
        <x:v>Docelowe Z zależy od grubości dielektryka, Er, miedzi, soldermask i geometrii.</x:v>
      </x:c>
      <x:c r="E20" s="20" t="str">
        <x:v>SRC-068; SRC-054; SRC-055</x:v>
      </x:c>
      <x:c r="F20" s="20" t="str">
        <x:v>Agent powinien generować rekomendację z założeniami i wymagać potwierdzenia stack-upu.</x:v>
      </x:c>
    </x:row>
    <x:row r="21">
      <x:c r="A21" s="20" t="str">
        <x:v>R-020</x:v>
      </x:c>
      <x:c r="B21" s="20" t="str">
        <x:v>Agent safety / wiarygodność</x:v>
      </x:c>
      <x:c r="C21" s="20" t="str">
        <x:v>Nie obiecuj zgodności EMC; opisuj wynik jako pre-compliance/risk reduction i zawsze zalecaj pomiar walidacyjny.</x:v>
      </x:c>
      <x:c r="D21" s="20" t="str">
        <x:v>EMC zależy od layoutu, kabli, obudowy, setupu i normy docelowej.</x:v>
      </x:c>
      <x:c r="E21" s="20" t="str">
        <x:v>SRC-001; SRC-030; SRC-048</x:v>
      </x:c>
      <x:c r="F21" s="20" t="str">
        <x:v>Agent powinien dodawać disclaimer przy raportach i rekomendacjach.</x:v>
      </x:c>
    </x:row>
  </x:sheetData>
  <x:pageMargins left="0.7" right="0.7" top="0.75" bottom="0.75" header="0.3" footer="0.3"/>
  <x:tableParts count="1">
    <x:tablePart xmlns:r="http://schemas.openxmlformats.org/officeDocument/2006/relationships" r:id="Rc7e89aad7e434c7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2" hidden="0" customWidth="1"/>
    <x:col min="3" max="3" width="36" hidden="0" customWidth="1"/>
    <x:col min="4" max="4" width="48" hidden="0" customWidth="1"/>
    <x:col min="5" max="5" width="42" hidden="0" customWidth="1"/>
  </x:cols>
  <x:sheetData>
    <x:row r="1" ht="28" customHeight="1">
      <x:c r="A1" s="17" t="str">
        <x:v>Intent / agent mode</x:v>
      </x:c>
      <x:c r="B1" s="17" t="str">
        <x:v>Wymagane wejścia</x:v>
      </x:c>
      <x:c r="C1" s="17" t="str">
        <x:v>Filtry retrieval</x:v>
      </x:c>
      <x:c r="D1" s="17" t="str">
        <x:v>Wzorzec odpowiedzi</x:v>
      </x:c>
      <x:c r="E1" s="17" t="str">
        <x:v>Guardrails</x:v>
      </x:c>
    </x:row>
    <x:row r="2">
      <x:c r="A2" s="20" t="str">
        <x:v>emc_triage_conducted</x:v>
      </x:c>
      <x:c r="B2" s="20" t="str">
        <x:v>Objaw: fail/noise peak, typ urządzenia, zasilanie, f_sw, kable, normy, pomiar LISN</x:v>
      </x:c>
      <x:c r="C2" s="20" t="str">
        <x:v>conducted; CM; DM; LISN; filter</x:v>
      </x:c>
      <x:c r="D2" s="20" t="str">
        <x:v>1) klasyfikacja CM/DM 2) hipotezy 3) pomiary/symulacje 4) filtr/sweep 5) ryzyka</x:v>
      </x:c>
      <x:c r="E2" s="20" t="str">
        <x:v>Nie zgadywać normy; nie obiecywać pass EMC.</x:v>
      </x:c>
    </x:row>
    <x:row r="3">
      <x:c r="A3" s="20" t="str">
        <x:v>ltspice_testbench_generator</x:v>
      </x:c>
      <x:c r="B3" s="20" t="str">
        <x:v>Schemat/netlista, źródło zakłóceń, impedancje, zakres freq, modele komponentów</x:v>
      </x:c>
      <x:c r="C3" s="20" t="str">
        <x:v>LTspice; LISN; component models; parasitics</x:v>
      </x:c>
      <x:c r="D3" s="20" t="str">
        <x:v>Wygeneruj .cir/.asc + instrukcję sweep + wykresy oczekiwane</x:v>
      </x:c>
      <x:c r="E3" s="20" t="str">
        <x:v>Unikać idealnych elementów; uwzględniać ESR/ESL/SRF.</x:v>
      </x:c>
    </x:row>
    <x:row r="4">
      <x:c r="A4" s="20" t="str">
        <x:v>schematic_review_rules</x:v>
      </x:c>
      <x:c r="B4" s="20" t="str">
        <x:v>Schemat PDF/netlist, typ przetwornicy/interfejsu, konektory/kable</x:v>
      </x:c>
      <x:c r="C4" s="20" t="str">
        <x:v>schematic checklist; decoupling; filters; ESD</x:v>
      </x:c>
      <x:c r="D4" s="20" t="str">
        <x:v>Tabela: ryzyko, dlaczego, jak sprawdzić, rekomendacja, źródła</x:v>
      </x:c>
      <x:c r="E4" s="20" t="str">
        <x:v>Oddzielać krytyczne błędy od nice-to-have.</x:v>
      </x:c>
    </x:row>
    <x:row r="5">
      <x:c r="A5" s="20" t="str">
        <x:v>pcb_stackup_review</x:v>
      </x:c>
      <x:c r="B5" s="20" t="str">
        <x:v>Liczba warstw, stack-up, warstwy sygnałowe, plane cuts, diff pairs</x:v>
      </x:c>
      <x:c r="C5" s="20" t="str">
        <x:v>stack-up; return path; reference plane; impedance</x:v>
      </x:c>
      <x:c r="D5" s="20" t="str">
        <x:v>Ocena referencji, ryzyka EMI/SI, zalecany stack-up wariantowy</x:v>
      </x:c>
      <x:c r="E5" s="20" t="str">
        <x:v>Jeśli brak danych Er/grubości, podać zakres i poprosić o profile fab.</x:v>
      </x:c>
    </x:row>
    <x:row r="6">
      <x:c r="A6" s="20" t="str">
        <x:v>decoupling_pdn_review</x:v>
      </x:c>
      <x:c r="B6" s="20" t="str">
        <x:v>Lista IC/pobór prądu, napięcia, layout caps/vias, częstotliwości</x:v>
      </x:c>
      <x:c r="C6" s="20" t="str">
        <x:v>decoupling; PDN; MLCC; ESL; via</x:v>
      </x:c>
      <x:c r="D6" s="20" t="str">
        <x:v>Propozycja wartości/modeli + placement/via checklist + symulacja impedancji</x:v>
      </x:c>
      <x:c r="E6" s="20" t="str">
        <x:v>Nie dobierać tylko po nominalnej pojemności.</x:v>
      </x:c>
    </x:row>
    <x:row r="7">
      <x:c r="A7" s="20" t="str">
        <x:v>dcdc_emi_assistant</x:v>
      </x:c>
      <x:c r="B7" s="20" t="str">
        <x:v>Topologia, kontroler, f_sw, Vin/Vout/I, layout, input/output filter</x:v>
      </x:c>
      <x:c r="C7" s="20" t="str">
        <x:v>DCDC; input filter; damping; snubber; hot loop</x:v>
      </x:c>
      <x:c r="D7" s="20" t="str">
        <x:v>Hot-loop checklist + filtr DM/CM + damping sweep + BOM warianty</x:v>
      </x:c>
      <x:c r="E7" s="20" t="str">
        <x:v>Sprawdzić stabilność wejściową i peaking.</x:v>
      </x:c>
    </x:row>
    <x:row r="8">
      <x:c r="A8" s="20" t="str">
        <x:v>acdc_line_filter_assistant</x:v>
      </x:c>
      <x:c r="B8" s="20" t="str">
        <x:v>Topologia AC/DC, moc, uziemienie, PE/class, leakage current, target limit</x:v>
      </x:c>
      <x:c r="C8" s="20" t="str">
        <x:v>AC line filter; X capacitor; Y capacitor; CMC; LISN</x:v>
      </x:c>
      <x:c r="D8" s="20" t="str">
        <x:v>Dobór topologii + LTspice equivalent + safety warnings</x:v>
      </x:c>
      <x:c r="E8" s="20" t="str">
        <x:v>Nie sugerować zamiany elementów bezpieczeństwa bez certyfikacji.</x:v>
      </x:c>
    </x:row>
    <x:row r="9">
      <x:c r="A9" s="20" t="str">
        <x:v>high_speed_interface_review</x:v>
      </x:c>
      <x:c r="B9" s="20" t="str">
        <x:v>Interfejs, prędkość, długości, stack-up, ESD/CMC/terminacje</x:v>
      </x:c>
      <x:c r="C9" s="20" t="str">
        <x:v>USB; Ethernet; RS-485; CAN; LVDS; SPE</x:v>
      </x:c>
      <x:c r="D9" s="20" t="str">
        <x:v>Checklist routing/ESD/EMI + SI tradeoffs + footprint options</x:v>
      </x:c>
      <x:c r="E9" s="20" t="str">
        <x:v>CMC nie jest obowiązkowy; zawsze sprawdzić SI.</x:v>
      </x:c>
    </x:row>
    <x:row r="10">
      <x:c r="A10" s="20" t="str">
        <x:v>parasitic_model_builder</x:v>
      </x:c>
      <x:c r="B10" s="20" t="str">
        <x:v>Długość kabla/ścieżki, geometria, Er, impedancja, rise time</x:v>
      </x:c>
      <x:c r="C10" s="20" t="str">
        <x:v>cable model; transmission line; RLGC; parasitics</x:v>
      </x:c>
      <x:c r="D10" s="20" t="str">
        <x:v>Wybór modelu lumped/distributed + parametry + netlista SPICE</x:v>
      </x:c>
      <x:c r="E10" s="20" t="str">
        <x:v>Jawnie oznaczyć przybliżenia geometryczne.</x:v>
      </x:c>
    </x:row>
    <x:row r="11">
      <x:c r="A11" s="20" t="str">
        <x:v>pcb_dfm_checker</x:v>
      </x:c>
      <x:c r="B11" s="20" t="str">
        <x:v>Fabricator, stack-up, Gerbers/ODB/KiCad, min rules, assembly needs</x:v>
      </x:c>
      <x:c r="C11" s="20" t="str">
        <x:v>DFM; Gerber; annular ring; drill; soldermask; via fill</x:v>
      </x:c>
      <x:c r="D11" s="20" t="str">
        <x:v>Lista naruszeń i rekomendacje zgodne z profilem producenta</x:v>
      </x:c>
      <x:c r="E11" s="20" t="str">
        <x:v>Nie używać jednej uniwersalnej reguły dla wszystkich fabów.</x:v>
      </x:c>
    </x:row>
  </x:sheetData>
  <x:pageMargins left="0.7" right="0.7" top="0.75" bottom="0.75" header="0.3" footer="0.3"/>
  <x:tableParts count="1">
    <x:tablePart xmlns:r="http://schemas.openxmlformats.org/officeDocument/2006/relationships" r:id="R06280fbc554a482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5" hidden="0" customWidth="1"/>
    <x:col min="3" max="3" width="45" hidden="0" customWidth="1"/>
    <x:col min="4" max="4" width="55" hidden="0" customWidth="1"/>
  </x:cols>
  <x:sheetData>
    <x:row r="1" ht="28" customHeight="1">
      <x:c r="A1" s="17" t="str">
        <x:v>Norma/obszar</x:v>
      </x:c>
      <x:c r="B1" s="17" t="str">
        <x:v>Zakres</x:v>
      </x:c>
      <x:c r="C1" s="17" t="str">
        <x:v>Dostępność</x:v>
      </x:c>
      <x:c r="D1" s="17" t="str">
        <x:v>Guardrail dla agenta</x:v>
      </x:c>
    </x:row>
    <x:row r="2">
      <x:c r="A2" s="20" t="str">
        <x:v>CISPR 32 / EN 55032</x:v>
      </x:c>
      <x:c r="B2" s="20" t="str">
        <x:v>Multimedia equipment emissions; conducted/radiated limits often relevant to electronics products.</x:v>
      </x:c>
      <x:c r="C2" s="20" t="str">
        <x:v>Norma płatna; publiczne są omówienia i materiały producentów.</x:v>
      </x:c>
      <x:c r="D2" s="20" t="str">
        <x:v>Agent może używać nazw i zakresów ogólnych, ale limit tables powinny pochodzić z legalnego źródła użytkownika.</x:v>
      </x:c>
    </x:row>
    <x:row r="3">
      <x:c r="A3" s="20" t="str">
        <x:v>CISPR 25</x:v>
      </x:c>
      <x:c r="B3" s="20" t="str">
        <x:v>Automotive component emissions; conducted/radiated methods for vehicles.</x:v>
      </x:c>
      <x:c r="C3" s="20" t="str">
        <x:v>Norma płatna; wiele not aplikacyjnych pokazuje przykładowe klasy/limity.</x:v>
      </x:c>
      <x:c r="D3" s="20" t="str">
        <x:v>Nie generować pełnych tabel limitów z pamięci.</x:v>
      </x:c>
    </x:row>
    <x:row r="4">
      <x:c r="A4" s="20" t="str">
        <x:v>IEC 61000-4-x</x:v>
      </x:c>
      <x:c r="B4" s="20" t="str">
        <x:v>Immunity tests: ESD, EFT/burst, surge, conducted RF, etc.</x:v>
      </x:c>
      <x:c r="C4" s="20" t="str">
        <x:v>Normy płatne; dostępne są publiczne overview i noty producentów.</x:v>
      </x:c>
      <x:c r="D4" s="20" t="str">
        <x:v>Agent może proponować testy i układy ochrony, ale final requirements wymagają legalnej normy.</x:v>
      </x:c>
    </x:row>
    <x:row r="5">
      <x:c r="A5" s="20" t="str">
        <x:v>IPC-2221/2222</x:v>
      </x:c>
      <x:c r="B5" s="20" t="str">
        <x:v>Generic PCB design standards, creepage/clearance, manufacturability guidance.</x:v>
      </x:c>
      <x:c r="C5" s="20" t="str">
        <x:v>Standardy płatne; zamiast tego użyj fab-specific public DFM pages dla reguł produkcyjnych.</x:v>
      </x:c>
      <x:c r="D5" s="20" t="str">
        <x:v>Nie kopiować tabel IPC; używać danych producenta PCB lub wejścia użytkownika.</x:v>
      </x:c>
    </x:row>
    <x:row r="6">
      <x:c r="A6" s="20" t="str">
        <x:v>UL/IEC safety for AC mains</x:v>
      </x:c>
      <x:c r="B6" s="20" t="str">
        <x:v>Safety requirements for mains insulation, X/Y caps, creepage/clearance.</x:v>
      </x:c>
      <x:c r="C6" s="20" t="str">
        <x:v>Wysokie ryzyko; normy i certyfikacje płatne/produktowe.</x:v>
      </x:c>
      <x:c r="D6" s="20" t="str">
        <x:v>Agent powinien ostrzegać, że AC/DC safety wymaga kwalifikowanego review.</x:v>
      </x:c>
    </x:row>
  </x:sheetData>
  <x:pageMargins left="0.7" right="0.7" top="0.75" bottom="0.75" header="0.3" footer="0.3"/>
  <x:tableParts count="1">
    <x:tablePart xmlns:r="http://schemas.openxmlformats.org/officeDocument/2006/relationships" r:id="R7207920b769644bf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4" hidden="0" customWidth="1"/>
    <x:col min="4" max="4" width="35" hidden="0" customWidth="1"/>
  </x:cols>
  <x:sheetData>
    <x:row r="1">
      <x:c r="A1" s="16" t="str">
        <x:v>Obszar</x:v>
      </x:c>
      <x:c r="B1" s="16" t="str">
        <x:v>Liczba źródeł</x:v>
      </x:c>
      <x:c r="C1" s="16" t="str">
        <x:v>Priorytet średni</x:v>
      </x:c>
      <x:c r="D1" s="16" t="str">
        <x:v>Komentarz</x:v>
      </x:c>
    </x:row>
    <x:row r="2">
      <x:c r="A2" s="13" t="str">
        <x:v>LTspice / workflow EMC</x:v>
      </x:c>
      <x:c r="B2" s="13" t="n">
        <x:f>COUNTIF(Sources!B:B,A2)</x:f>
        <x:v>2</x:v>
      </x:c>
      <x:c r="C2" s="13" t="n">
        <x:f>IFERROR(AVERAGEIF(Sources!B:B,A2,Sources!I:I),"")</x:f>
        <x:v>5</x:v>
      </x:c>
      <x:c r="D2" s="13" t="str">
        <x:v>OK</x:v>
      </x:c>
    </x:row>
    <x:row r="3">
      <x:c r="A3" s="13" t="str">
        <x:v>Conducted EMI</x:v>
      </x:c>
      <x:c r="B3" s="13" t="n">
        <x:f>COUNTIF(Sources!B:B,A3)</x:f>
        <x:v>4</x:v>
      </x:c>
      <x:c r="C3" s="13" t="n">
        <x:f>IFERROR(AVERAGEIF(Sources!B:B,A3,Sources!I:I),"")</x:f>
        <x:v>4.75</x:v>
      </x:c>
      <x:c r="D3" s="13" t="str">
        <x:v>OK</x:v>
      </x:c>
    </x:row>
    <x:row r="4">
      <x:c r="A4" s="13" t="str">
        <x:v>Schematics / rule of thumb</x:v>
      </x:c>
      <x:c r="B4" s="13" t="n">
        <x:f>COUNTIF(Sources!B:B,A4)</x:f>
        <x:v>1</x:v>
      </x:c>
      <x:c r="C4" s="13" t="n">
        <x:f>IFERROR(AVERAGEIF(Sources!B:B,A4,Sources!I:I),"")</x:f>
        <x:v>4</x:v>
      </x:c>
      <x:c r="D4" s="13" t="str">
        <x:v>Uzupełniać w kolejnych iteracjach</x:v>
      </x:c>
    </x:row>
    <x:row r="5">
      <x:c r="A5" s="13" t="str">
        <x:v>Stack-up / PDN</x:v>
      </x:c>
      <x:c r="B5" s="13" t="n">
        <x:f>COUNTIF(Sources!B:B,A5)</x:f>
        <x:v>1</x:v>
      </x:c>
      <x:c r="C5" s="13" t="n">
        <x:f>IFERROR(AVERAGEIF(Sources!B:B,A5,Sources!I:I),"")</x:f>
        <x:v>5</x:v>
      </x:c>
      <x:c r="D5" s="13" t="str">
        <x:v>Uzupełniać w kolejnych iteracjach</x:v>
      </x:c>
    </x:row>
    <x:row r="6">
      <x:c r="A6" s="13" t="str">
        <x:v>DC/DC converters</x:v>
      </x:c>
      <x:c r="B6" s="13" t="n">
        <x:f>COUNTIF(Sources!B:B,A6)</x:f>
        <x:v>4</x:v>
      </x:c>
      <x:c r="C6" s="13" t="n">
        <x:f>IFERROR(AVERAGEIF(Sources!B:B,A6,Sources!I:I),"")</x:f>
        <x:v>4.75</x:v>
      </x:c>
      <x:c r="D6" s="13" t="str">
        <x:v>OK</x:v>
      </x:c>
    </x:row>
    <x:row r="7">
      <x:c r="A7" s="13" t="str">
        <x:v>Decoupling</x:v>
      </x:c>
      <x:c r="B7" s="13" t="n">
        <x:f>COUNTIF(Sources!B:B,A7)</x:f>
        <x:v>1</x:v>
      </x:c>
      <x:c r="C7" s="13" t="n">
        <x:f>IFERROR(AVERAGEIF(Sources!B:B,A7,Sources!I:I),"")</x:f>
        <x:v>5</x:v>
      </x:c>
      <x:c r="D7" s="13" t="str">
        <x:v>Uzupełniać w kolejnych iteracjach</x:v>
      </x:c>
    </x:row>
    <x:row r="8">
      <x:c r="A8" s="13" t="str">
        <x:v>Parasitic modeling</x:v>
      </x:c>
      <x:c r="B8" s="13" t="n">
        <x:f>COUNTIF(Sources!B:B,A8)</x:f>
        <x:v>1</x:v>
      </x:c>
      <x:c r="C8" s="13" t="n">
        <x:f>IFERROR(AVERAGEIF(Sources!B:B,A8,Sources!I:I),"")</x:f>
        <x:v>5</x:v>
      </x:c>
      <x:c r="D8" s="13" t="str">
        <x:v>Uzupełniać w kolejnych iteracjach</x:v>
      </x:c>
    </x:row>
    <x:row r="9">
      <x:c r="A9" s="13" t="str">
        <x:v>High-speed comms</x:v>
      </x:c>
      <x:c r="B9" s="13" t="n">
        <x:f>COUNTIF(Sources!B:B,A9)</x:f>
        <x:v>2</x:v>
      </x:c>
      <x:c r="C9" s="13" t="n">
        <x:f>IFERROR(AVERAGEIF(Sources!B:B,A9,Sources!I:I),"")</x:f>
        <x:v>3</x:v>
      </x:c>
      <x:c r="D9" s="13" t="str">
        <x:v>Uzupełniać w kolejnych iteracjach</x:v>
      </x:c>
    </x:row>
    <x:row r="10">
      <x:c r="A10" s="13" t="str">
        <x:v>USB</x:v>
      </x:c>
      <x:c r="B10" s="13" t="n">
        <x:f>COUNTIF(Sources!B:B,A10)</x:f>
        <x:v>1</x:v>
      </x:c>
      <x:c r="C10" s="13" t="n">
        <x:f>IFERROR(AVERAGEIF(Sources!B:B,A10,Sources!I:I),"")</x:f>
        <x:v>4</x:v>
      </x:c>
      <x:c r="D10" s="13" t="str">
        <x:v>Uzupełniać w kolejnych iteracjach</x:v>
      </x:c>
    </x:row>
    <x:row r="11">
      <x:c r="A11" s="13" t="str">
        <x:v>RS-485</x:v>
      </x:c>
      <x:c r="B11" s="13" t="n">
        <x:f>COUNTIF(Sources!B:B,A11)</x:f>
        <x:v>1</x:v>
      </x:c>
      <x:c r="C11" s="13" t="n">
        <x:f>IFERROR(AVERAGEIF(Sources!B:B,A11,Sources!I:I),"")</x:f>
        <x:v>4</x:v>
      </x:c>
      <x:c r="D11" s="13" t="str">
        <x:v>Uzupełniać w kolejnych iteracjach</x:v>
      </x:c>
    </x:row>
    <x:row r="12">
      <x:c r="A12" s="13" t="str">
        <x:v>CAN</x:v>
      </x:c>
      <x:c r="B12" s="13" t="n">
        <x:f>COUNTIF(Sources!B:B,A12)</x:f>
        <x:v>1</x:v>
      </x:c>
      <x:c r="C12" s="13" t="n">
        <x:f>IFERROR(AVERAGEIF(Sources!B:B,A12,Sources!I:I),"")</x:f>
        <x:v>4</x:v>
      </x:c>
      <x:c r="D12" s="13" t="str">
        <x:v>Uzupełniać w kolejnych iteracjach</x:v>
      </x:c>
    </x:row>
    <x:row r="13">
      <x:c r="A13" s="13" t="str">
        <x:v>Ethernet / SPE</x:v>
      </x:c>
      <x:c r="B13" s="13" t="n">
        <x:f>COUNTIF(Sources!B:B,A13)</x:f>
        <x:v>1</x:v>
      </x:c>
      <x:c r="C13" s="13" t="n">
        <x:f>IFERROR(AVERAGEIF(Sources!B:B,A13,Sources!I:I),"")</x:f>
        <x:v>5</x:v>
      </x:c>
      <x:c r="D13" s="13" t="str">
        <x:v>Uzupełniać w kolejnych iteracjach</x:v>
      </x:c>
    </x:row>
    <x:row r="14">
      <x:c r="A14" s="13" t="str">
        <x:v>AC/DC power</x:v>
      </x:c>
      <x:c r="B14" s="13" t="n">
        <x:f>COUNTIF(Sources!B:B,A14)</x:f>
        <x:v>2</x:v>
      </x:c>
      <x:c r="C14" s="13" t="n">
        <x:f>IFERROR(AVERAGEIF(Sources!B:B,A14,Sources!I:I),"")</x:f>
        <x:v>4</x:v>
      </x:c>
      <x:c r="D14" s="13" t="str">
        <x:v>Uzupełniać w kolejnych iteracjach</x:v>
      </x:c>
    </x:row>
    <x:row r="15">
      <x:c r="A15" s="13" t="str">
        <x:v>PCB EMC/ESD</x:v>
      </x:c>
      <x:c r="B15" s="13" t="n">
        <x:f>COUNTIF(Sources!B:B,A15)</x:f>
        <x:v>1</x:v>
      </x:c>
      <x:c r="C15" s="13" t="n">
        <x:f>IFERROR(AVERAGEIF(Sources!B:B,A15,Sources!I:I),"")</x:f>
        <x:v>5</x:v>
      </x:c>
      <x:c r="D15" s="13" t="str">
        <x:v>Uzupełniać w kolejnych iteracjach</x:v>
      </x:c>
    </x:row>
    <x:row r="16">
      <x:c r="A16" s="13" t="str">
        <x:v>Component libraries</x:v>
      </x:c>
      <x:c r="B16" s="13" t="n">
        <x:f>COUNTIF(Sources!B:B,A16)</x:f>
        <x:v>4</x:v>
      </x:c>
      <x:c r="C16" s="13" t="n">
        <x:f>IFERROR(AVERAGEIF(Sources!B:B,A16,Sources!I:I),"")</x:f>
        <x:v>3.75</x:v>
      </x:c>
      <x:c r="D16" s="13" t="str">
        <x:v>OK</x:v>
      </x:c>
    </x:row>
    <x:row r="17">
      <x:c r="A17" s="13" t="str">
        <x:v>PCB manufacturing</x:v>
      </x:c>
      <x:c r="B17" s="13" t="n">
        <x:f>COUNTIF(Sources!B:B,A17)</x:f>
        <x:v>10</x:v>
      </x:c>
      <x:c r="C17" s="13" t="n">
        <x:f>IFERROR(AVERAGEIF(Sources!B:B,A17,Sources!I:I),"")</x:f>
        <x:v>3.8</x:v>
      </x:c>
      <x:c r="D17" s="13" t="str">
        <x:v>OK</x:v>
      </x:c>
    </x:row>
    <x:row r="18">
      <x:c r="A18" s="13" t="str">
        <x:v>Radiated EMI / stack-up</x:v>
      </x:c>
      <x:c r="B18" s="13" t="n">
        <x:f>COUNTIF(Sources!B:B,A18)</x:f>
        <x:v>1</x:v>
      </x:c>
      <x:c r="C18" s="13" t="n">
        <x:f>IFERROR(AVERAGEIF(Sources!B:B,A18,Sources!I:I),"")</x:f>
        <x:v>5</x:v>
      </x:c>
      <x:c r="D18" s="13" t="str">
        <x:v>Uzupełniać w kolejnych iteracjach</x:v>
      </x:c>
    </x:row>
    <x:row r="19">
      <x:c r="A19" s="13" t="str">
        <x:v>Mixed-signal layout</x:v>
      </x:c>
      <x:c r="B19" s="13" t="n">
        <x:f>COUNTIF(Sources!B:B,A19)</x:f>
        <x:v>2</x:v>
      </x:c>
      <x:c r="C19" s="13" t="n">
        <x:f>IFERROR(AVERAGEIF(Sources!B:B,A19,Sources!I:I),"")</x:f>
        <x:v>4</x:v>
      </x:c>
      <x:c r="D19" s="13" t="str">
        <x:v>Uzupełniać w kolejnych iteracjach</x:v>
      </x:c>
    </x:row>
    <x:row r="20">
      <x:c r="A20" s="13" t="str">
        <x:v>Power-supply EMI</x:v>
      </x:c>
      <x:c r="B20" s="13" t="n">
        <x:f>COUNTIF(Sources!B:B,A20)</x:f>
        <x:v>1</x:v>
      </x:c>
      <x:c r="C20" s="13" t="n">
        <x:f>IFERROR(AVERAGEIF(Sources!B:B,A20,Sources!I:I),"")</x:f>
        <x:v>5</x:v>
      </x:c>
      <x:c r="D20" s="13" t="str">
        <x:v>Uzupełniać w kolejnych iteracjach</x:v>
      </x:c>
    </x:row>
  </x:sheetData>
  <x:pageMargins left="0.7" right="0.7" top="0.75" bottom="0.75" header="0.3" footer="0.3"/>
  <x:tableParts count="1">
    <x:tablePart xmlns:r="http://schemas.openxmlformats.org/officeDocument/2006/relationships" r:id="Rb3cf68acb33f4f4b"/>
  </x:tableParts>
</x:worksheet>
</file>