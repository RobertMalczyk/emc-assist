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bd1ed620a4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14ec70d60f147ad"/>
    <x:sheet xmlns:r="http://schemas.openxmlformats.org/officeDocument/2006/relationships" name="Quick_Rules" sheetId="2" r:id="R534f7e66e8a34823"/>
    <x:sheet xmlns:r="http://schemas.openxmlformats.org/officeDocument/2006/relationships" name="Calculation_Recipes" sheetId="3" r:id="Rc28ed4c52f434d34"/>
    <x:sheet xmlns:r="http://schemas.openxmlformats.org/officeDocument/2006/relationships" name="Sources" sheetId="4" r:id="R8e63a0293e514264"/>
    <x:sheet xmlns:r="http://schemas.openxmlformats.org/officeDocument/2006/relationships" name="Agent_Taxonomy" sheetId="5" r:id="Rf94cd099722f4cf9"/>
    <x:sheet xmlns:r="http://schemas.openxmlformats.org/officeDocument/2006/relationships" name="Guardrails" sheetId="6" r:id="Ra65144fc4dcb4918"/>
    <x:sheet xmlns:r="http://schemas.openxmlformats.org/officeDocument/2006/relationships" name="Coverage" sheetId="7" r:id="Radf80552b5b7452c"/>
    <x:sheet xmlns:r="http://schemas.openxmlformats.org/officeDocument/2006/relationships" name="Estimate_Calc" sheetId="8" r:id="R2230d03fd0284ff7"/>
    <x:sheet xmlns:r="http://schemas.openxmlformats.org/officeDocument/2006/relationships" name="LTspice_Snippets" sheetId="9" r:id="R48cd245c680d48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310ecf79d449f1" /><Relationship Type="http://schemas.openxmlformats.org/officeDocument/2006/relationships/theme" Target="/xl/theme/theme1.xml" Id="Rb5ca0f3d33144881" /><Relationship Type="http://schemas.openxmlformats.org/officeDocument/2006/relationships/sharedStrings" Target="/xl/sharedStrings.xml" Id="Rd95d33993c6c44e2" /><Relationship Type="http://schemas.openxmlformats.org/officeDocument/2006/relationships/worksheet" Target="/xl/worksheets/sheet1.xml" Id="Re14ec70d60f147ad" /><Relationship Type="http://schemas.openxmlformats.org/officeDocument/2006/relationships/worksheet" Target="/xl/worksheets/sheet2.xml" Id="R534f7e66e8a34823" /><Relationship Type="http://schemas.openxmlformats.org/officeDocument/2006/relationships/worksheet" Target="/xl/worksheets/sheet3.xml" Id="Rc28ed4c52f434d34" /><Relationship Type="http://schemas.openxmlformats.org/officeDocument/2006/relationships/worksheet" Target="/xl/worksheets/sheet4.xml" Id="R8e63a0293e514264" /><Relationship Type="http://schemas.openxmlformats.org/officeDocument/2006/relationships/worksheet" Target="/xl/worksheets/sheet5.xml" Id="Rf94cd099722f4cf9" /><Relationship Type="http://schemas.openxmlformats.org/officeDocument/2006/relationships/worksheet" Target="/xl/worksheets/sheet6.xml" Id="Ra65144fc4dcb4918" /><Relationship Type="http://schemas.openxmlformats.org/officeDocument/2006/relationships/worksheet" Target="/xl/worksheets/sheet7.xml" Id="Radf80552b5b7452c" /><Relationship Type="http://schemas.openxmlformats.org/officeDocument/2006/relationships/worksheet" Target="/xl/worksheets/sheet8.xml" Id="R2230d03fd0284ff7" /><Relationship Type="http://schemas.openxmlformats.org/officeDocument/2006/relationships/worksheet" Target="/xl/worksheets/sheet9.xml" Id="R48cd245c680d4894" /></Relationships>
</file>

<file path=xl/tables/table1.xml><?xml version="1.0" encoding="utf-8"?>
<x:table xmlns:x="http://schemas.openxmlformats.org/spreadsheetml/2006/main" id="1" name="Quick_RulesTable" displayName="Quick_RulesTable" ref="A2:M92" headerRowCount="1">
  <x:tableColumns count="13">
    <x:tableColumn id="1" name="Rule_ID"/>
    <x:tableColumn id="2" name="Domain"/>
    <x:tableColumn id="3" name="Structure"/>
    <x:tableColumn id="4" name="Parasitic"/>
    <x:tableColumn id="5" name="Default_value_for_agent"/>
    <x:tableColumn id="6" name="Range_or_sensitivity"/>
    <x:tableColumn id="7" name="Formula_or_method"/>
    <x:tableColumn id="8" name="Inputs_needed"/>
    <x:tableColumn id="9" name="Use_when"/>
    <x:tableColumn id="10" name="LTspice_representation"/>
    <x:tableColumn id="11" name="Confidence"/>
    <x:tableColumn id="12" name="Source_IDs"/>
    <x:tableColumn id="13" name="Source_URLs"/>
  </x:tableColumns>
  <x:tableStyleInfo name="TableStyleMedium2" showRowStripes="1"/>
</x:table>
</file>

<file path=xl/tables/table2.xml><?xml version="1.0" encoding="utf-8"?>
<x:table xmlns:x="http://schemas.openxmlformats.org/spreadsheetml/2006/main" id="2" name="Calculation_RecipesTable" displayName="Calculation_RecipesTable" ref="A2:F27" headerRowCount="1">
  <x:tableColumns count="6">
    <x:tableColumn id="1" name="Recipe_ID"/>
    <x:tableColumn id="2" name="Calculation_recipe"/>
    <x:tableColumn id="3" name="Formula_or_method"/>
    <x:tableColumn id="4" name="Inputs_needed"/>
    <x:tableColumn id="5" name="Agent_notes"/>
    <x:tableColumn id="6" name="Source_IDs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2:H32" headerRowCount="1">
  <x:tableColumns count="8">
    <x:tableColumn id="1" name="Source_ID"/>
    <x:tableColumn id="2" name="Title"/>
    <x:tableColumn id="3" name="Organization"/>
    <x:tableColumn id="4" name="Type"/>
    <x:tableColumn id="5" name="Topics"/>
    <x:tableColumn id="6" name="URL"/>
    <x:tableColumn id="7" name="Notes"/>
    <x:tableColumn id="8" name="Use_caution"/>
  </x:tableColumns>
  <x:tableStyleInfo name="TableStyleMedium2" showRowStripes="1"/>
</x:table>
</file>

<file path=xl/tables/table4.xml><?xml version="1.0" encoding="utf-8"?>
<x:table xmlns:x="http://schemas.openxmlformats.org/spreadsheetml/2006/main" id="4" name="Agent_TaxonomyTable" displayName="Agent_TaxonomyTable" ref="A2:E8" headerRowCount="1">
  <x:tableColumns count="5">
    <x:tableColumn id="1" name="Agent_ID"/>
    <x:tableColumn id="2" name="Agent_mode"/>
    <x:tableColumn id="3" name="Purpose"/>
    <x:tableColumn id="4" name="Inputs"/>
    <x:tableColumn id="5" name="Guardrails"/>
  </x:tableColumns>
  <x:tableStyleInfo name="TableStyleMedium2" showRowStripes="1"/>
</x:table>
</file>

<file path=xl/tables/table5.xml><?xml version="1.0" encoding="utf-8"?>
<x:table xmlns:x="http://schemas.openxmlformats.org/spreadsheetml/2006/main" id="5" name="GuardrailsTable" displayName="GuardrailsTable" ref="A2:C12" headerRowCount="1">
  <x:tableColumns count="3">
    <x:tableColumn id="1" name="Guardrail_ID"/>
    <x:tableColumn id="2" name="Name"/>
    <x:tableColumn id="3" name="Rule"/>
  </x:tableColumns>
  <x:tableStyleInfo name="TableStyleMedium2" showRowStripes="1"/>
</x:table>
</file>

<file path=xl/tables/table6.xml><?xml version="1.0" encoding="utf-8"?>
<x:table xmlns:x="http://schemas.openxmlformats.org/spreadsheetml/2006/main" id="6" name="CoverageTable" displayName="CoverageTable" ref="A2:C12" headerRowCount="1">
  <x:tableColumns count="3">
    <x:tableColumn id="1" name="User_topic"/>
    <x:tableColumn id="2" name="KB_sections"/>
    <x:tableColumn id="3" name="Coverage_notes"/>
  </x:tableColumns>
  <x:tableStyleInfo name="TableStyleMedium2" showRowStripes="1"/>
</x:table>
</file>

<file path=xl/tables/table7.xml><?xml version="1.0" encoding="utf-8"?>
<x:table xmlns:x="http://schemas.openxmlformats.org/spreadsheetml/2006/main" id="7" name="LTspice_SnippetsTable" displayName="LTspice_SnippetsTable" ref="A2:E10" headerRowCount="1">
  <x:tableColumns count="5">
    <x:tableColumn id="1" name="Snippet_ID"/>
    <x:tableColumn id="2" name="Use_case"/>
    <x:tableColumn id="3" name="LTspice_snippet"/>
    <x:tableColumn id="4" name="Inputs_to_replace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0a985fa51a4e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f29bd8bcfc44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43c13d95ff44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7fbab5f3ad4d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9c506c90d842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bdcce5b6eb4a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9e3d86f8cae4a1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3" t="str">
        <x:v>Value</x:v>
      </x:c>
    </x:row>
    <x:row r="2">
      <x:c r="A2" s="7" t="str">
        <x:v>Knowledge base</x:v>
      </x:c>
      <x:c r="B2" s="7" t="str">
        <x:v>PCB parasitic value estimator for LTspice/EMC conducted-emissions workflows</x:v>
      </x:c>
    </x:row>
    <x:row r="3">
      <x:c r="A3" s="7" t="str">
        <x:v>Version</x:v>
      </x:c>
      <x:c r="B3" s="7" t="str">
        <x:v>2026-05-13</x:v>
      </x:c>
    </x:row>
    <x:row r="4">
      <x:c r="A4" s="7" t="str">
        <x:v>Language</x:v>
      </x:c>
      <x:c r="B4" s="7" t="str">
        <x:v>Polish/English technical labels</x:v>
      </x:c>
    </x:row>
    <x:row r="5">
      <x:c r="A5" s="7" t="str">
        <x:v>Scope</x:v>
      </x:c>
      <x:c r="B5" s="7" t="str">
        <x:v>First-pass and pre-compliance estimation of PCB trace, via, plane/polygon, capacitor mounting, cable and coupling parasitics.</x:v>
      </x:c>
    </x:row>
    <x:row r="6">
      <x:c r="A6" s="7" t="str">
        <x:v>Primary use</x:v>
      </x:c>
      <x:c r="B6" s="7" t="str">
        <x:v>Agent proposes R/L/C values, ranges, formulas and LTspice model snippets when exact PCB extraction is unavailable.</x:v>
      </x:c>
    </x:row>
    <x:row r="7">
      <x:c r="A7" s="7" t="str">
        <x:v>Not a substitute for</x:v>
      </x:c>
      <x:c r="B7" s="7" t="str">
        <x:v>Field solver, fab-controlled impedance data, vendor S-parameters, lab EMC measurement, safety compliance review.</x:v>
      </x:c>
    </x:row>
    <x:row r="8">
      <x:c r="A8" s="7" t="str">
        <x:v>Core principle</x:v>
      </x:c>
      <x:c r="B8" s="7" t="str">
        <x:v>Inductance is loop inductance: always identify the return path before proposing L.</x:v>
      </x:c>
    </x:row>
    <x:row r="9">
      <x:c r="A9" s="7" t="str">
        <x:v>Recommended output</x:v>
      </x:c>
      <x:c r="B9" s="7" t="str">
        <x:v>Nominal value + min/max sweep + assumptions + source IDs + model validity warning.</x:v>
      </x:c>
    </x:row>
    <x:row r="10">
      <x:c r="A10" s="7" t="str">
        <x:v>Commercial-use note</x:v>
      </x:c>
      <x:c r="B10" s="7" t="str">
        <x:v>Sources are public web/PDF/calculator pages, but not all are open-license for copying. Link and summarize; do not redistribute full copyrighted content.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34" hidden="0" customWidth="1"/>
    <x:col min="6" max="6" width="34" hidden="0" customWidth="1"/>
    <x:col min="7" max="7" width="3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5" hidden="0" customWidth="1"/>
  </x:cols>
  <x:sheetData>
    <x:row r="1" ht="26" customHeight="1">
      <x:c r="A1" s="12" t="str">
        <x:v>PCB parasitic rules of thumb and modeling hints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</x:row>
    <x:row r="2">
      <x:c r="A2" s="20" t="str">
        <x:v>Rule_ID</x:v>
      </x:c>
      <x:c r="B2" s="20" t="str">
        <x:v>Domain</x:v>
      </x:c>
      <x:c r="C2" s="20" t="str">
        <x:v>Structure</x:v>
      </x:c>
      <x:c r="D2" s="20" t="str">
        <x:v>Parasitic</x:v>
      </x:c>
      <x:c r="E2" s="20" t="str">
        <x:v>Default_value_for_agent</x:v>
      </x:c>
      <x:c r="F2" s="20" t="str">
        <x:v>Range_or_sensitivity</x:v>
      </x:c>
      <x:c r="G2" s="20" t="str">
        <x:v>Formula_or_method</x:v>
      </x:c>
      <x:c r="H2" s="20" t="str">
        <x:v>Inputs_needed</x:v>
      </x:c>
      <x:c r="I2" s="20" t="str">
        <x:v>Use_when</x:v>
      </x:c>
      <x:c r="J2" s="20" t="str">
        <x:v>LTspice_representation</x:v>
      </x:c>
      <x:c r="K2" s="20" t="str">
        <x:v>Confidence</x:v>
      </x:c>
      <x:c r="L2" s="20" t="str">
        <x:v>Source_IDs</x:v>
      </x:c>
      <x:c r="M2" s="20" t="str">
        <x:v>Source_URLs</x:v>
      </x:c>
    </x:row>
    <x:row r="3">
      <x:c r="A3" s="7" t="str">
        <x:v>R001</x:v>
      </x:c>
      <x:c r="B3" s="7" t="str">
        <x:v>Trace / interconnect</x:v>
      </x:c>
      <x:c r="C3" s="7" t="str">
        <x:v>Single copper trace, 1 oz Cu</x:v>
      </x:c>
      <x:c r="D3" s="7" t="str">
        <x:v>DC resistance</x:v>
      </x:c>
      <x:c r="E3" s="7" t="str">
        <x:v>≈0.49 mΩ/square at 20°C; R = Rsq·length/width</x:v>
      </x:c>
      <x:c r="F3" s="7" t="str">
        <x:v>0.25 mΩ/sq for 2 oz, ≈0.98 mΩ/sq for 0.5 oz; +0.393%/°C</x:v>
      </x:c>
      <x:c r="G3" s="7" t="str">
        <x:v>Rsq=ρ/t; R=ρ·l/(w·t)</x:v>
      </x:c>
      <x:c r="H3" s="7" t="str">
        <x:v>length, width, copper thickness, temperature</x:v>
      </x:c>
      <x:c r="I3" s="7" t="str">
        <x:v>First-pass supply/ground voltage-drop and damping estimates</x:v>
      </x:c>
      <x:c r="J3" s="7" t="str">
        <x:v>Rser in series with trace segment</x:v>
      </x:c>
      <x:c r="K3" s="7" t="str">
        <x:v>High</x:v>
      </x:c>
      <x:c r="L3" s="7" t="str">
        <x:v>S004, S022</x:v>
      </x:c>
      <x:c r="M3" s="7" t="str">
        <x:v>https://saturnpcb.com/saturn-pcb-toolkit/ ; https://www.ti.com/lit/ml/slyp762/slyp762.pdf</x:v>
      </x:c>
    </x:row>
    <x:row r="4">
      <x:c r="A4" s="7" t="str">
        <x:v>R002</x:v>
      </x:c>
      <x:c r="B4" s="7" t="str">
        <x:v>Trace / interconnect</x:v>
      </x:c>
      <x:c r="C4" s="7" t="str">
        <x:v>Single copper trace without close return plane</x:v>
      </x:c>
      <x:c r="D4" s="7" t="str">
        <x:v>Self inductance</x:v>
      </x:c>
      <x:c r="E4" s="7" t="str">
        <x:v>Use 0.6–1.2 nH/mm as rough upper-bound; isolated formula preferred</x:v>
      </x:c>
      <x:c r="F4" s="7" t="str">
        <x:v>Strongly geometry-dependent; wide traces lower L but return path dominates</x:v>
      </x:c>
      <x:c r="G4" s="7" t="str">
        <x:v>L[nH]=0.002·l_mm·(ln(2l/(w+t))+0.5+0.2235(w+t)/l)</x:v>
      </x:c>
      <x:c r="H4" s="7" t="str">
        <x:v>trace length/width/thickness</x:v>
      </x:c>
      <x:c r="I4" s="7" t="str">
        <x:v>When no plane/return path is close or for conservative ringing estimate</x:v>
      </x:c>
      <x:c r="J4" s="7" t="str">
        <x:v>Lser in series with trace</x:v>
      </x:c>
      <x:c r="K4" s="7" t="str">
        <x:v>Medium</x:v>
      </x:c>
      <x:c r="L4" s="7" t="str">
        <x:v>S026, S028</x:v>
      </x:c>
      <x:c r="M4" s="7" t="str">
        <x:v>https://chemandy.com/calculators/flat-wire-inductor-calculator.htm ; https://resources.altium.com/p/pcb-trace-inductance-and-width-how-wide-too-wide</x:v>
      </x:c>
    </x:row>
    <x:row r="5">
      <x:c r="A5" s="7" t="str">
        <x:v>R003</x:v>
      </x:c>
      <x:c r="B5" s="7" t="str">
        <x:v>Trace over plane</x:v>
      </x:c>
      <x:c r="C5" s="7" t="str">
        <x:v>50Ω microstrip/stripline trace with adjacent return plane</x:v>
      </x:c>
      <x:c r="D5" s="7" t="str">
        <x:v>Series inductance per length</x:v>
      </x:c>
      <x:c r="E5" s="7" t="str">
        <x:v>≈0.25–0.35 nH/mm</x:v>
      </x:c>
      <x:c r="F5" s="7" t="str">
        <x:v>Lower for low-Z wide traces; higher for high-Z narrow traces</x:v>
      </x:c>
      <x:c r="G5" s="7" t="str">
        <x:v>L'=Z0·td; use propagation delay td from stack-up or calculator</x:v>
      </x:c>
      <x:c r="H5" s="7" t="str">
        <x:v>Z0, delay per mm</x:v>
      </x:c>
      <x:c r="I5" s="7" t="str">
        <x:v>High-speed signal or power loop over continuous plane</x:v>
      </x:c>
      <x:c r="J5" s="7" t="str">
        <x:v>Distributed TL or Lser segmented</x:v>
      </x:c>
      <x:c r="K5" s="7" t="str">
        <x:v>High</x:v>
      </x:c>
      <x:c r="L5" s="7" t="str">
        <x:v>S011, S006, S005</x:v>
      </x:c>
      <x:c r="M5" s="7" t="str">
        <x:v>https://www.ti.com/lit/pdf/snla035 ; https://www.protoexpress.com/tools/pcb-impedance-calculator/ ; https://chemandy.com/calculators/microstrip-transmission-line-calculator-ipc2141.htm</x:v>
      </x:c>
    </x:row>
    <x:row r="6">
      <x:c r="A6" s="7" t="str">
        <x:v>R004</x:v>
      </x:c>
      <x:c r="B6" s="7" t="str">
        <x:v>Trace over plane</x:v>
      </x:c>
      <x:c r="C6" s="7" t="str">
        <x:v>50Ω line over FR-4</x:v>
      </x:c>
      <x:c r="D6" s="7" t="str">
        <x:v>Capacitance per length</x:v>
      </x:c>
      <x:c r="E6" s="7" t="str">
        <x:v>≈0.10–0.14 pF/mm</x:v>
      </x:c>
      <x:c r="F6" s="7" t="str">
        <x:v>Depends on Er, soldermask and geometry</x:v>
      </x:c>
      <x:c r="G6" s="7" t="str">
        <x:v>C'=td/Z0</x:v>
      </x:c>
      <x:c r="H6" s="7" t="str">
        <x:v>Z0, delay per mm</x:v>
      </x:c>
      <x:c r="I6" s="7" t="str">
        <x:v>Crosstalk/capacitive loading estimates</x:v>
      </x:c>
      <x:c r="J6" s="7" t="str">
        <x:v>Cshunt to return plane</x:v>
      </x:c>
      <x:c r="K6" s="7" t="str">
        <x:v>High</x:v>
      </x:c>
      <x:c r="L6" s="7" t="str">
        <x:v>S011, S006</x:v>
      </x:c>
      <x:c r="M6" s="7" t="str">
        <x:v>https://www.ti.com/lit/pdf/snla035 ; https://www.protoexpress.com/tools/pcb-impedance-calculator/</x:v>
      </x:c>
    </x:row>
    <x:row r="7">
      <x:c r="A7" s="7" t="str">
        <x:v>R005</x:v>
      </x:c>
      <x:c r="B7" s="7" t="str">
        <x:v>Transmission line</x:v>
      </x:c>
      <x:c r="C7" s="7" t="str">
        <x:v>75Ω microstrip example</x:v>
      </x:c>
      <x:c r="D7" s="7" t="str">
        <x:v>L and C sanity check</x:v>
      </x:c>
      <x:c r="E7" s="7" t="str">
        <x:v>≈3.95 nH/cm and ≈0.70 pF/cm in TI example</x:v>
      </x:c>
      <x:c r="F7" s="7" t="str">
        <x:v>Example given for εr≈3.8; use only as sanity check</x:v>
      </x:c>
      <x:c r="G7" s="7" t="str">
        <x:v>L'=Z0·td; C'=td/Z0</x:v>
      </x:c>
      <x:c r="H7" s="7" t="str">
        <x:v>Z0, εeff or delay</x:v>
      </x:c>
      <x:c r="I7" s="7" t="str">
        <x:v>Model long traces/cables when rise time is short</x:v>
      </x:c>
      <x:c r="J7" s="7" t="str">
        <x:v>TLINE/LTRA or lumped ladder</x:v>
      </x:c>
      <x:c r="K7" s="7" t="str">
        <x:v>High</x:v>
      </x:c>
      <x:c r="L7" s="7" t="str">
        <x:v>S011</x:v>
      </x:c>
      <x:c r="M7" s="7" t="str">
        <x:v>https://www.ti.com/lit/pdf/snla035</x:v>
      </x:c>
    </x:row>
    <x:row r="8">
      <x:c r="A8" s="7" t="str">
        <x:v>R006</x:v>
      </x:c>
      <x:c r="B8" s="7" t="str">
        <x:v>Transmission line</x:v>
      </x:c>
      <x:c r="C8" s="7" t="str">
        <x:v>35Ω stripline example</x:v>
      </x:c>
      <x:c r="D8" s="7" t="str">
        <x:v>L and C sanity check</x:v>
      </x:c>
      <x:c r="E8" s="7" t="str">
        <x:v>≈1.8 nH/cm and ≈1.47 pF/cm in TI example</x:v>
      </x:c>
      <x:c r="F8" s="7" t="str">
        <x:v>Example given for εr≈2.4; exact board differs</x:v>
      </x:c>
      <x:c r="G8" s="7" t="str">
        <x:v>L'=Z0·td; C'=td/Z0</x:v>
      </x:c>
      <x:c r="H8" s="7" t="str">
        <x:v>Z0, εr, delay</x:v>
      </x:c>
      <x:c r="I8" s="7" t="str">
        <x:v>Compare low-impedance power/signal traces over planes</x:v>
      </x:c>
      <x:c r="J8" s="7" t="str">
        <x:v>L/C distributed</x:v>
      </x:c>
      <x:c r="K8" s="7" t="str">
        <x:v>High</x:v>
      </x:c>
      <x:c r="L8" s="7" t="str">
        <x:v>S011</x:v>
      </x:c>
      <x:c r="M8" s="7" t="str">
        <x:v>https://www.ti.com/lit/pdf/snla035</x:v>
      </x:c>
    </x:row>
    <x:row r="9">
      <x:c r="A9" s="7" t="str">
        <x:v>R007</x:v>
      </x:c>
      <x:c r="B9" s="7" t="str">
        <x:v>Plane / polygon</x:v>
      </x:c>
      <x:c r="C9" s="7" t="str">
        <x:v>Power-ground plane pair</x:v>
      </x:c>
      <x:c r="D9" s="7" t="str">
        <x:v>Capacitance</x:v>
      </x:c>
      <x:c r="E9" s="7" t="str">
        <x:v>C[pF]=0.008854·εr·A_mm²/d_mm</x:v>
      </x:c>
      <x:c r="F9" s="7" t="str">
        <x:v>Example: 100×100mm, d=0.1mm, εr=4.2 → ≈3.7nF</x:v>
      </x:c>
      <x:c r="G9" s="7" t="str">
        <x:v>Parallel plate approximation</x:v>
      </x:c>
      <x:c r="H9" s="7" t="str">
        <x:v>area, dielectric thickness, εr</x:v>
      </x:c>
      <x:c r="I9" s="7" t="str">
        <x:v>PDN/plane capacitance and HF decoupling estimate</x:v>
      </x:c>
      <x:c r="J9" s="7" t="str">
        <x:v>C between VCC and GND planes</x:v>
      </x:c>
      <x:c r="K9" s="7" t="str">
        <x:v>High</x:v>
      </x:c>
      <x:c r="L9" s="7" t="str">
        <x:v>S003, S025</x:v>
      </x:c>
      <x:c r="M9" s="7" t="str">
        <x:v>https://www.we-online.com/files/pdf1/emc-design-tips-2025_en.pdf ; https://chemandy.com/calculators/rectangular-capacitor-calculator.htm</x:v>
      </x:c>
    </x:row>
    <x:row r="10">
      <x:c r="A10" s="7" t="str">
        <x:v>R008</x:v>
      </x:c>
      <x:c r="B10" s="7" t="str">
        <x:v>Plane / polygon</x:v>
      </x:c>
      <x:c r="C10" s="7" t="str">
        <x:v>Power-ground plane pair</x:v>
      </x:c>
      <x:c r="D10" s="7" t="str">
        <x:v>Spreading/loop inductance</x:v>
      </x:c>
      <x:c r="E10" s="7" t="str">
        <x:v>L[nH]≈1.257·d_mm·(length/width) per rectangular current path</x:v>
      </x:c>
      <x:c r="F10" s="7" t="str">
        <x:v>For 0.1mm dielectric ≈0.126 nH/square</x:v>
      </x:c>
      <x:c r="G10" s="7" t="str">
        <x:v>Parallel-plate inductance approximation</x:v>
      </x:c>
      <x:c r="H10" s="7" t="str">
        <x:v>plane spacing, current path length/width</x:v>
      </x:c>
      <x:c r="I10" s="7" t="str">
        <x:v>Low-inductance plane-pair path estimate</x:v>
      </x:c>
      <x:c r="J10" s="7" t="str">
        <x:v>Lser in supply loop or plane segment</x:v>
      </x:c>
      <x:c r="K10" s="7" t="str">
        <x:v>Medium</x:v>
      </x:c>
      <x:c r="L10" s="7" t="str">
        <x:v>S003, S011</x:v>
      </x:c>
      <x:c r="M10" s="7" t="str">
        <x:v>https://www.we-online.com/files/pdf1/emc-design-tips-2025_en.pdf ; https://www.ti.com/lit/pdf/snla035</x:v>
      </x:c>
    </x:row>
    <x:row r="11">
      <x:c r="A11" s="7" t="str">
        <x:v>R009</x:v>
      </x:c>
      <x:c r="B11" s="7" t="str">
        <x:v>Plane / polygon</x:v>
      </x:c>
      <x:c r="C11" s="7" t="str">
        <x:v>Switched polygon / switch node copper</x:v>
      </x:c>
      <x:c r="D11" s="7" t="str">
        <x:v>Capacitance to nearby planes/copper</x:v>
      </x:c>
      <x:c r="E11" s="7" t="str">
        <x:v>C≈8.85fF/mm²·εr/d_mm; keep area small</x:v>
      </x:c>
      <x:c r="F11" s="7" t="str">
        <x:v>Large SW area injects displacement current; risk rises with dv/dt</x:v>
      </x:c>
      <x:c r="G11" s="7" t="str">
        <x:v>I=C·dv/dt; compute C to all nearby conductors</x:v>
      </x:c>
      <x:c r="H11" s="7" t="str">
        <x:v>polygon area, dielectric spacing, dv/dt</x:v>
      </x:c>
      <x:c r="I11" s="7" t="str">
        <x:v>Buck/flyback/half bridge switch node EMI</x:v>
      </x:c>
      <x:c r="J11" s="7" t="str">
        <x:v>C from SW node to planes/chassis/primary/secondary</x:v>
      </x:c>
      <x:c r="K11" s="7" t="str">
        <x:v>High</x:v>
      </x:c>
      <x:c r="L11" s="7" t="str">
        <x:v>S003, S009, S021</x:v>
      </x:c>
      <x:c r="M11" s="7" t="str">
        <x:v>https://www.we-online.com/files/pdf1/emc-design-tips-2025_en.pdf ; https://www.analog.com/en/resources/app-notes/an-136.html ; https://www.analog.com/en/resources/technical-articles/the-unseen-ring.html</x:v>
      </x:c>
    </x:row>
    <x:row r="12">
      <x:c r="A12" s="7" t="str">
        <x:v>R010</x:v>
      </x:c>
      <x:c r="B12" s="7" t="str">
        <x:v>Plane / polygon</x:v>
      </x:c>
      <x:c r="C12" s="7" t="str">
        <x:v>Large quiet copper pour near noisy node</x:v>
      </x:c>
      <x:c r="D12" s="7" t="str">
        <x:v>Capacitive pickup</x:v>
      </x:c>
      <x:c r="E12" s="7" t="str">
        <x:v>Estimate as parallel-plate upper bound; reduce by distance/guard/shield</x:v>
      </x:c>
      <x:c r="F12" s="7" t="str">
        <x:v>Coupling proportional to parallel area and inverse spacing</x:v>
      </x:c>
      <x:c r="G12" s="7" t="str">
        <x:v>C=εA/d; Inoise=C·dv/dt</x:v>
      </x:c>
      <x:c r="H12" s="7" t="str">
        <x:v>overlap area, spacing, dv/dt</x:v>
      </x:c>
      <x:c r="I12" s="7" t="str">
        <x:v>When pour overlaps SW/drain/clock region</x:v>
      </x:c>
      <x:c r="J12" s="7" t="str">
        <x:v>Ccpl between aggressor and victim</x:v>
      </x:c>
      <x:c r="K12" s="7" t="str">
        <x:v>Medium</x:v>
      </x:c>
      <x:c r="L12" s="7" t="str">
        <x:v>S003, S012</x:v>
      </x:c>
      <x:c r="M12" s="7" t="str">
        <x:v>https://www.we-online.com/files/pdf1/emc-design-tips-2025_en.pdf ; https://www.ieee.li/pdf/viewgraphs/emc_inductors_and_filters.pdf</x:v>
      </x:c>
    </x:row>
    <x:row r="13">
      <x:c r="A13" s="7" t="str">
        <x:v>R011</x:v>
      </x:c>
      <x:c r="B13" s="7" t="str">
        <x:v>Return path</x:v>
      </x:c>
      <x:c r="C13" s="7" t="str">
        <x:v>Trace crossing split/slot in reference plane</x:v>
      </x:c>
      <x:c r="D13" s="7" t="str">
        <x:v>Loop inductance increase</x:v>
      </x:c>
      <x:c r="E13" s="7" t="str">
        <x:v>Avoid; if unavoidable add return stitching near crossing</x:v>
      </x:c>
      <x:c r="F13" s="7" t="str">
        <x:v>Can dominate over trace inductance; hard to estimate without geometry</x:v>
      </x:c>
      <x:c r="G13" s="7" t="str">
        <x:v>Use longer return path loop-area estimate; L∝loop area for rough comparison</x:v>
      </x:c>
      <x:c r="H13" s="7" t="str">
        <x:v>slot length, return detour</x:v>
      </x:c>
      <x:c r="I13" s="7" t="str">
        <x:v>Any fast edge or high di/dt trace crossing gaps</x:v>
      </x:c>
      <x:c r="J13" s="7" t="str">
        <x:v>Additional L in return and mutual coupling source</x:v>
      </x:c>
      <x:c r="K13" s="7" t="str">
        <x:v>High</x:v>
      </x:c>
      <x:c r="L13" s="7" t="str">
        <x:v>S001, S003</x:v>
      </x:c>
      <x:c r="M13" s="7" t="str">
        <x:v>https://www.ti.com/lit/pdf/szza009 ; https://www.we-online.com/files/pdf1/emc-design-tips-2025_en.pdf</x:v>
      </x:c>
    </x:row>
    <x:row r="14">
      <x:c r="A14" s="7" t="str">
        <x:v>R012</x:v>
      </x:c>
      <x:c r="B14" s="7" t="str">
        <x:v>Return path</x:v>
      </x:c>
      <x:c r="C14" s="7" t="str">
        <x:v>Signal with continuous adjacent GND plane</x:v>
      </x:c>
      <x:c r="D14" s="7" t="str">
        <x:v>Loop inductance</x:v>
      </x:c>
      <x:c r="E14" s="7" t="str">
        <x:v>Use TL L′ from impedance/delay; do not use isolated trace formula</x:v>
      </x:c>
      <x:c r="F14" s="7" t="str">
        <x:v>Return current follows under trace at high frequency</x:v>
      </x:c>
      <x:c r="G14" s="7" t="str">
        <x:v>L'=Z0·td</x:v>
      </x:c>
      <x:c r="H14" s="7" t="str">
        <x:v>Z0, stack-up</x:v>
      </x:c>
      <x:c r="I14" s="7" t="str">
        <x:v>Fast digital, clocks, gate drive, sensor lines</x:v>
      </x:c>
      <x:c r="J14" s="7" t="str">
        <x:v>Distributed TL or small L loop</x:v>
      </x:c>
      <x:c r="K14" s="7" t="str">
        <x:v>High</x:v>
      </x:c>
      <x:c r="L14" s="7" t="str">
        <x:v>S001, S011</x:v>
      </x:c>
      <x:c r="M14" s="7" t="str">
        <x:v>https://www.ti.com/lit/pdf/szza009 ; https://www.ti.com/lit/pdf/snla035</x:v>
      </x:c>
    </x:row>
    <x:row r="15">
      <x:c r="A15" s="7" t="str">
        <x:v>R013</x:v>
      </x:c>
      <x:c r="B15" s="7" t="str">
        <x:v>Return path</x:v>
      </x:c>
      <x:c r="C15" s="7" t="str">
        <x:v>2-layer board with gridded ground</x:v>
      </x:c>
      <x:c r="D15" s="7" t="str">
        <x:v>Loop inductance</x:v>
      </x:c>
      <x:c r="E15" s="7" t="str">
        <x:v>Expect substantially higher and layout-sensitive L than 4-layer plane</x:v>
      </x:c>
      <x:c r="F15" s="7" t="str">
        <x:v>Use ground grid + short returns; via stitching helps</x:v>
      </x:c>
      <x:c r="G15" s="7" t="str">
        <x:v>Estimate loop area; compare variants by A reduction</x:v>
      </x:c>
      <x:c r="H15" s="7" t="str">
        <x:v>trace path, return path</x:v>
      </x:c>
      <x:c r="I15" s="7" t="str">
        <x:v>Low-cost 2-layer EMC assessment</x:v>
      </x:c>
      <x:c r="J15" s="7" t="str">
        <x:v>Loop L + mutual coupling</x:v>
      </x:c>
      <x:c r="K15" s="7" t="str">
        <x:v>Medium</x:v>
      </x:c>
      <x:c r="L15" s="7" t="str">
        <x:v>S001</x:v>
      </x:c>
      <x:c r="M15" s="7" t="str">
        <x:v>https://www.ti.com/lit/pdf/szza009</x:v>
      </x:c>
    </x:row>
    <x:row r="16">
      <x:c r="A16" s="7" t="str">
        <x:v>R014</x:v>
      </x:c>
      <x:c r="B16" s="7" t="str">
        <x:v>Via</x:v>
      </x:c>
      <x:c r="C16" s="7" t="str">
        <x:v>Standard through via 1.6mm board, 0.25–0.4mm drill</x:v>
      </x:c>
      <x:c r="D16" s="7" t="str">
        <x:v>Inductance</x:v>
      </x:c>
      <x:c r="E16" s="7" t="str">
        <x:v>≈0.8–1.5 nH per via</x:v>
      </x:c>
      <x:c r="F16" s="7" t="str">
        <x:v>Shorter/thicker vias lower L; multiple vias in parallel reduce L</x:v>
      </x:c>
      <x:c r="G16" s="7" t="str">
        <x:v>L[nH]≈0.2·h_mm·(ln(4h/d)+1)</x:v>
      </x:c>
      <x:c r="H16" s="7" t="str">
        <x:v>via length, drill diameter</x:v>
      </x:c>
      <x:c r="I16" s="7" t="str">
        <x:v>Decoupling and power connections</x:v>
      </x:c>
      <x:c r="J16" s="7" t="str">
        <x:v>Lser via</x:v>
      </x:c>
      <x:c r="K16" s="7" t="str">
        <x:v>Medium</x:v>
      </x:c>
      <x:c r="L16" s="7" t="str">
        <x:v>S004, S008</x:v>
      </x:c>
      <x:c r="M16" s="7" t="str">
        <x:v>https://saturnpcb.com/saturn-pcb-toolkit/ ; https://www.ti.com/content/dam/videos/external-videos/de-de/9/3816841626001/6313253251112.mp4/subassets/notes-decoupling_capacitors.pdf</x:v>
      </x:c>
    </x:row>
    <x:row r="17">
      <x:c r="A17" s="7" t="str">
        <x:v>R015</x:v>
      </x:c>
      <x:c r="B17" s="7" t="str">
        <x:v>Via</x:v>
      </x:c>
      <x:c r="C17" s="7" t="str">
        <x:v>Power/GND via pair for decoupling capacitor</x:v>
      </x:c>
      <x:c r="D17" s="7" t="str">
        <x:v>Loop inductance</x:v>
      </x:c>
      <x:c r="E17" s="7" t="str">
        <x:v>Use 0.5–2 nH for via+pad+escape if not extracted</x:v>
      </x:c>
      <x:c r="F17" s="7" t="str">
        <x:v>Via spacing and path geometry dominate; place P/G vias close together</x:v>
      </x:c>
      <x:c r="G17" s="7" t="str">
        <x:v>Use via L + pad/trace L; reduce by parallel vias</x:v>
      </x:c>
      <x:c r="H17" s="7" t="str">
        <x:v>via length/drill, spacing, trace length</x:v>
      </x:c>
      <x:c r="I17" s="7" t="str">
        <x:v>Decoupling and EMI filter capacitors</x:v>
      </x:c>
      <x:c r="J17" s="7" t="str">
        <x:v>Series L with capacitor ESL</x:v>
      </x:c>
      <x:c r="K17" s="7" t="str">
        <x:v>Medium</x:v>
      </x:c>
      <x:c r="L17" s="7" t="str">
        <x:v>S008, S009</x:v>
      </x:c>
      <x:c r="M17" s="7" t="str">
        <x:v>https://www.ti.com/content/dam/videos/external-videos/de-de/9/3816841626001/6313253251112.mp4/subassets/notes-decoupling_capacitors.pdf ; https://www.analog.com/en/resources/app-notes/an-136.html</x:v>
      </x:c>
    </x:row>
    <x:row r="18">
      <x:c r="A18" s="7" t="str">
        <x:v>R016</x:v>
      </x:c>
      <x:c r="B18" s="7" t="str">
        <x:v>Via</x:v>
      </x:c>
      <x:c r="C18" s="7" t="str">
        <x:v>Multiple identical vias in parallel</x:v>
      </x:c>
      <x:c r="D18" s="7" t="str">
        <x:v>Inductance reduction</x:v>
      </x:c>
      <x:c r="E18" s="7" t="str">
        <x:v>L≈Lsingle/N only if close and sharing current well</x:v>
      </x:c>
      <x:c r="F18" s="7" t="str">
        <x:v>Mutual coupling limits perfect 1/N scaling</x:v>
      </x:c>
      <x:c r="G18" s="7" t="str">
        <x:v>Use Lparallel≈Lsingle/(0.6N to N) as conservative range</x:v>
      </x:c>
      <x:c r="H18" s="7" t="str">
        <x:v>N, spacing, plane connection</x:v>
      </x:c>
      <x:c r="I18" s="7" t="str">
        <x:v>High-current or decoupling via arrays</x:v>
      </x:c>
      <x:c r="J18" s="7" t="str">
        <x:v>Parallel L elements or reduced L</x:v>
      </x:c>
      <x:c r="K18" s="7" t="str">
        <x:v>Medium</x:v>
      </x:c>
      <x:c r="L18" s="7" t="str">
        <x:v>S008, S009, S004</x:v>
      </x:c>
      <x:c r="M18" s="7" t="str">
        <x:v>https://www.ti.com/content/dam/videos/external-videos/de-de/9/3816841626001/6313253251112.mp4/subassets/notes-decoupling_capacitors.pdf ; https://www.analog.com/en/resources/app-notes/an-136.html ; https://saturnpcb.com/saturn-pcb-toolkit/</x:v>
      </x:c>
    </x:row>
    <x:row r="19">
      <x:c r="A19" s="7" t="str">
        <x:v>R017</x:v>
      </x:c>
      <x:c r="B19" s="7" t="str">
        <x:v>Via</x:v>
      </x:c>
      <x:c r="C19" s="7" t="str">
        <x:v>Through via pad/antipad</x:v>
      </x:c>
      <x:c r="D19" s="7" t="str">
        <x:v>Parasitic capacitance</x:v>
      </x:c>
      <x:c r="E19" s="7" t="str">
        <x:v>≈0.1–0.6 pF typical; formula gives first estimate</x:v>
      </x:c>
      <x:c r="F19" s="7" t="str">
        <x:v>Can matter for fast I/O, RF, filter leakage</x:v>
      </x:c>
      <x:c r="G19" s="7" t="str">
        <x:v>C[pF]≈0.0555·εr·T_mm·Dpad_mm/(Dantipad_mm-Dpad_mm)</x:v>
      </x:c>
      <x:c r="H19" s="7" t="str">
        <x:v>board thickness, pad, antipad, εr</x:v>
      </x:c>
      <x:c r="I19" s="7" t="str">
        <x:v>Via stubs and high-speed nets</x:v>
      </x:c>
      <x:c r="J19" s="7" t="str">
        <x:v>Cshunt to reference plane</x:v>
      </x:c>
      <x:c r="K19" s="7" t="str">
        <x:v>Medium</x:v>
      </x:c>
      <x:c r="L19" s="7" t="str">
        <x:v>S004, S024</x:v>
      </x:c>
      <x:c r="M19" s="7" t="str">
        <x:v>https://saturnpcb.com/saturn-pcb-toolkit/ ; https://cecas.clemson.edu/cvel/emc/calculators/PCB-TL_Calculator/embedded.html</x:v>
      </x:c>
    </x:row>
    <x:row r="20">
      <x:c r="A20" s="7" t="str">
        <x:v>R018</x:v>
      </x:c>
      <x:c r="B20" s="7" t="str">
        <x:v>Via</x:v>
      </x:c>
      <x:c r="C20" s="7" t="str">
        <x:v>Long unused via stub</x:v>
      </x:c>
      <x:c r="D20" s="7" t="str">
        <x:v>Stub resonance / capacitance</x:v>
      </x:c>
      <x:c r="E20" s="7" t="str">
        <x:v>Treat as open stub; avoid if edge rates demand</x:v>
      </x:c>
      <x:c r="F20" s="7" t="str">
        <x:v>Quarter-wave stub resonance may notch high-speed signals</x:v>
      </x:c>
      <x:c r="G20" s="7" t="str">
        <x:v>f≈v/(4·length); use εeff/εr propagation</x:v>
      </x:c>
      <x:c r="H20" s="7" t="str">
        <x:v>stub length, dielectric</x:v>
      </x:c>
      <x:c r="I20" s="7" t="str">
        <x:v>High-speed serial, clocks, RF</x:v>
      </x:c>
      <x:c r="J20" s="7" t="str">
        <x:v>Open transmission-line stub or C/L lump</x:v>
      </x:c>
      <x:c r="K20" s="7" t="str">
        <x:v>Medium</x:v>
      </x:c>
      <x:c r="L20" s="7" t="str">
        <x:v>S018, S019</x:v>
      </x:c>
      <x:c r="M20" s="7" t="str">
        <x:v>https://www.ti.com/lit/pdf/snla043 ; https://www.ti.com/lit/pdf/snla028</x:v>
      </x:c>
    </x:row>
    <x:row r="21">
      <x:c r="A21" s="7" t="str">
        <x:v>R019</x:v>
      </x:c>
      <x:c r="B21" s="7" t="str">
        <x:v>Decoupling</x:v>
      </x:c>
      <x:c r="C21" s="7" t="str">
        <x:v>0402/0201 MLCC mounted close to IC</x:v>
      </x:c>
      <x:c r="D21" s="7" t="str">
        <x:v>Mounted ESL</x:v>
      </x:c>
      <x:c r="E21" s="7" t="str">
        <x:v>≈0.2–0.7 nH including good pads/vias</x:v>
      </x:c>
      <x:c r="F21" s="7" t="str">
        <x:v>Actual ESL depends on package and mounting loop; use S-parameters when available</x:v>
      </x:c>
      <x:c r="G21" s="7" t="str">
        <x:v>ESL = intrinsic cap ESL + mounting loop L</x:v>
      </x:c>
      <x:c r="H21" s="7" t="str">
        <x:v>package, pad/via geometry</x:v>
      </x:c>
      <x:c r="I21" s="7" t="str">
        <x:v>Local high-frequency decoupling</x:v>
      </x:c>
      <x:c r="J21" s="7" t="str">
        <x:v>C with ESR/ESL series</x:v>
      </x:c>
      <x:c r="K21" s="7" t="str">
        <x:v>Medium</x:v>
      </x:c>
      <x:c r="L21" s="7" t="str">
        <x:v>S008, S015, S016</x:v>
      </x:c>
      <x:c r="M21" s="7" t="str">
        <x:v>https://www.ti.com/content/dam/videos/external-videos/de-de/9/3816841626001/6313253251112.mp4/subassets/notes-decoupling_capacitors.pdf ; https://article.murata.com/en-global/article/methods-of-using-low-esl-capacitors ; https://www.murata.com/products/capacitor/ceramiccapacitor/library/solution/3-terminal-capacitor</x:v>
      </x:c>
    </x:row>
    <x:row r="22">
      <x:c r="A22" s="7" t="str">
        <x:v>R020</x:v>
      </x:c>
      <x:c r="B22" s="7" t="str">
        <x:v>Decoupling</x:v>
      </x:c>
      <x:c r="C22" s="7" t="str">
        <x:v>0603/0805 MLCC mounted close to IC</x:v>
      </x:c>
      <x:c r="D22" s="7" t="str">
        <x:v>Mounted ESL</x:v>
      </x:c>
      <x:c r="E22" s="7" t="str">
        <x:v>≈0.5–1.5 nH if layout is decent</x:v>
      </x:c>
      <x:c r="F22" s="7" t="str">
        <x:v>Large loop can exceed component ESL</x:v>
      </x:c>
      <x:c r="G22" s="7" t="str">
        <x:v>Use resonance f=1/(2π√(LC)) to fit ESL from impedance data</x:v>
      </x:c>
      <x:c r="H22" s="7" t="str">
        <x:v>package, mounting geometry, SRF</x:v>
      </x:c>
      <x:c r="I22" s="7" t="str">
        <x:v>Supply decoupling networks</x:v>
      </x:c>
      <x:c r="J22" s="7" t="str">
        <x:v>C+ESR+ESL series</x:v>
      </x:c>
      <x:c r="K22" s="7" t="str">
        <x:v>Medium</x:v>
      </x:c>
      <x:c r="L22" s="7" t="str">
        <x:v>S008, S013, S015</x:v>
      </x:c>
      <x:c r="M22" s="7" t="str">
        <x:v>https://www.ti.com/content/dam/videos/external-videos/de-de/9/3816841626001/6313253251112.mp4/subassets/notes-decoupling_capacitors.pdf ; https://www.analog.com/media/en/training-seminars/tutorials/MT-101.pdf ; https://article.murata.com/en-global/article/methods-of-using-low-esl-capacitors</x:v>
      </x:c>
    </x:row>
    <x:row r="23">
      <x:c r="A23" s="7" t="str">
        <x:v>R021</x:v>
      </x:c>
      <x:c r="B23" s="7" t="str">
        <x:v>Decoupling</x:v>
      </x:c>
      <x:c r="C23" s="7" t="str">
        <x:v>Capacitor 10–30mm away from IC</x:v>
      </x:c>
      <x:c r="D23" s="7" t="str">
        <x:v>Connection inductance</x:v>
      </x:c>
      <x:c r="E23" s="7" t="str">
        <x:v>Add ≈0.3 nH/mm if routed over plane; more without plane</x:v>
      </x:c>
      <x:c r="F23" s="7" t="str">
        <x:v>Distance can dominate capacitor usefulness above tens of MHz</x:v>
      </x:c>
      <x:c r="G23" s="7" t="str">
        <x:v>Ltrace≈Z0·td·l or rule-of-thumb nH/mm</x:v>
      </x:c>
      <x:c r="H23" s="7" t="str">
        <x:v>distance, return path, Z0</x:v>
      </x:c>
      <x:c r="I23" s="7" t="str">
        <x:v>When judging whether cap is local or bulk</x:v>
      </x:c>
      <x:c r="J23" s="7" t="str">
        <x:v>L before capacitor network</x:v>
      </x:c>
      <x:c r="K23" s="7" t="str">
        <x:v>Medium</x:v>
      </x:c>
      <x:c r="L23" s="7" t="str">
        <x:v>S008, S011</x:v>
      </x:c>
      <x:c r="M23" s="7" t="str">
        <x:v>https://www.ti.com/content/dam/videos/external-videos/de-de/9/3816841626001/6313253251112.mp4/subassets/notes-decoupling_capacitors.pdf ; https://www.ti.com/lit/pdf/snla035</x:v>
      </x:c>
    </x:row>
    <x:row r="24">
      <x:c r="A24" s="7" t="str">
        <x:v>R022</x:v>
      </x:c>
      <x:c r="B24" s="7" t="str">
        <x:v>Decoupling</x:v>
      </x:c>
      <x:c r="C24" s="7" t="str">
        <x:v>Capacitor with one via far from the other</x:v>
      </x:c>
      <x:c r="D24" s="7" t="str">
        <x:v>Loop inductance penalty</x:v>
      </x:c>
      <x:c r="E24" s="7" t="str">
        <x:v>Use +0.5–2 nH penalty vs paired close vias</x:v>
      </x:c>
      <x:c r="F24" s="7" t="str">
        <x:v>Current loop area grows; ESL increases</x:v>
      </x:c>
      <x:c r="G24" s="7" t="str">
        <x:v>Estimate via-pair loop with trace length + via L</x:v>
      </x:c>
      <x:c r="H24" s="7" t="str">
        <x:v>via spacing, pad pattern</x:v>
      </x:c>
      <x:c r="I24" s="7" t="str">
        <x:v>Layout sanity checks</x:v>
      </x:c>
      <x:c r="J24" s="7" t="str">
        <x:v>Extra series L with cap</x:v>
      </x:c>
      <x:c r="K24" s="7" t="str">
        <x:v>Medium</x:v>
      </x:c>
      <x:c r="L24" s="7" t="str">
        <x:v>S008, S009</x:v>
      </x:c>
      <x:c r="M24" s="7" t="str">
        <x:v>https://www.ti.com/content/dam/videos/external-videos/de-de/9/3816841626001/6313253251112.mp4/subassets/notes-decoupling_capacitors.pdf ; https://www.analog.com/en/resources/app-notes/an-136.html</x:v>
      </x:c>
    </x:row>
    <x:row r="25">
      <x:c r="A25" s="7" t="str">
        <x:v>R023</x:v>
      </x:c>
      <x:c r="B25" s="7" t="str">
        <x:v>Decoupling</x:v>
      </x:c>
      <x:c r="C25" s="7" t="str">
        <x:v>Power-ground plane pair under IC</x:v>
      </x:c>
      <x:c r="D25" s="7" t="str">
        <x:v>Plane capacitance</x:v>
      </x:c>
      <x:c r="E25" s="7" t="str">
        <x:v>Few nF possible only with large area and thin dielectric</x:v>
      </x:c>
      <x:c r="F25" s="7" t="str">
        <x:v>Do not expect planes alone to decouple low frequency</x:v>
      </x:c>
      <x:c r="G25" s="7" t="str">
        <x:v>C=ε0εrA/d</x:v>
      </x:c>
      <x:c r="H25" s="7" t="str">
        <x:v>plane overlap area, dielectric spacing</x:v>
      </x:c>
      <x:c r="I25" s="7" t="str">
        <x:v>PDN baseline model</x:v>
      </x:c>
      <x:c r="J25" s="7" t="str">
        <x:v>Cplane to ground</x:v>
      </x:c>
      <x:c r="K25" s="7" t="str">
        <x:v>High</x:v>
      </x:c>
      <x:c r="L25" s="7" t="str">
        <x:v>S003, S025</x:v>
      </x:c>
      <x:c r="M25" s="7" t="str">
        <x:v>https://www.we-online.com/files/pdf1/emc-design-tips-2025_en.pdf ; https://chemandy.com/calculators/rectangular-capacitor-calculator.htm</x:v>
      </x:c>
    </x:row>
    <x:row r="26">
      <x:c r="A26" s="7" t="str">
        <x:v>R024</x:v>
      </x:c>
      <x:c r="B26" s="7" t="str">
        <x:v>Decoupling</x:v>
      </x:c>
      <x:c r="C26" s="7" t="str">
        <x:v>PDN target impedance</x:v>
      </x:c>
      <x:c r="D26" s="7" t="str">
        <x:v>Impedance target</x:v>
      </x:c>
      <x:c r="E26" s="7" t="str">
        <x:v>Ztarget=ΔV/Itransient</x:v>
      </x:c>
      <x:c r="F26" s="7" t="str">
        <x:v>Use current step and allowed ripple; then place poles/anti-resonances below target</x:v>
      </x:c>
      <x:c r="G26" s="7" t="str">
        <x:v>Z=V/I; capacitor impedance includes ESR/ESL</x:v>
      </x:c>
      <x:c r="H26" s="7" t="str">
        <x:v>rail voltage tolerance, transient current</x:v>
      </x:c>
      <x:c r="I26" s="7" t="str">
        <x:v>Design decoupling impedance objective</x:v>
      </x:c>
      <x:c r="J26" s="7" t="str">
        <x:v>Frequency-dependent PDN model</x:v>
      </x:c>
      <x:c r="K26" s="7" t="str">
        <x:v>High</x:v>
      </x:c>
      <x:c r="L26" s="7" t="str">
        <x:v>S004, S013, S014</x:v>
      </x:c>
      <x:c r="M26" s="7" t="str">
        <x:v>https://saturnpcb.com/saturn-pcb-toolkit/ ; https://www.analog.com/media/en/training-seminars/tutorials/MT-101.pdf ; https://www.ti.com/lit/pdf/sprabv2</x:v>
      </x:c>
    </x:row>
    <x:row r="27">
      <x:c r="A27" s="7" t="str">
        <x:v>R025</x:v>
      </x:c>
      <x:c r="B27" s="7" t="str">
        <x:v>Decoupling</x:v>
      </x:c>
      <x:c r="C27" s="7" t="str">
        <x:v>Parallel MLCCs different values</x:v>
      </x:c>
      <x:c r="D27" s="7" t="str">
        <x:v>Anti-resonance</x:v>
      </x:c>
      <x:c r="E27" s="7" t="str">
        <x:v>Expect impedance peaking between SRFs; add damping ESR/ferrite if needed</x:v>
      </x:c>
      <x:c r="F27" s="7" t="str">
        <x:v>Ideal parallel caps can mislead; include ESR/ESL</x:v>
      </x:c>
      <x:c r="G27" s="7" t="str">
        <x:v>Simulate each C with ESR/ESL, sweep impedance</x:v>
      </x:c>
      <x:c r="H27" s="7" t="str">
        <x:v>cap values, ESR, ESL</x:v>
      </x:c>
      <x:c r="I27" s="7" t="str">
        <x:v>PDN and EMI filter tuning</x:v>
      </x:c>
      <x:c r="J27" s="7" t="str">
        <x:v>Network of series RLCs</x:v>
      </x:c>
      <x:c r="K27" s="7" t="str">
        <x:v>High</x:v>
      </x:c>
      <x:c r="L27" s="7" t="str">
        <x:v>S013, S002, S017</x:v>
      </x:c>
      <x:c r="M27" s="7" t="str">
        <x:v>https://www.analog.com/media/en/training-seminars/tutorials/MT-101.pdf ; https://www.analog.com/en/resources/technical-articles/how-to-get-the-best-results-using-ltspice-part-1.html ; https://www.rohde-schwarz.com/nl/applications/conducted-emissions-in-dc-dc-converters-simulation-versus-measurement_56279-1125376.html</x:v>
      </x:c>
    </x:row>
    <x:row r="28">
      <x:c r="A28" s="7" t="str">
        <x:v>R026</x:v>
      </x:c>
      <x:c r="B28" s="7" t="str">
        <x:v>DC/DC</x:v>
      </x:c>
      <x:c r="C28" s="7" t="str">
        <x:v>Buck converter hot input loop</x:v>
      </x:c>
      <x:c r="D28" s="7" t="str">
        <x:v>Loop inductance</x:v>
      </x:c>
      <x:c r="E28" s="7" t="str">
        <x:v>Aim &lt;1–3 nH for compact layouts; estimate with via+trace+package L</x:v>
      </x:c>
      <x:c r="F28" s="7" t="str">
        <x:v>Higher L causes VIN ringing and emissions</x:v>
      </x:c>
      <x:c r="G28" s="7" t="str">
        <x:v>Sum trace/via/package L; fit from ringing if measured</x:v>
      </x:c>
      <x:c r="H28" s="7" t="str">
        <x:v>Cin-FET-diode/low-side loop geometry</x:v>
      </x:c>
      <x:c r="I28" s="7" t="str">
        <x:v>Conducted/radiated EMI source model</x:v>
      </x:c>
      <x:c r="J28" s="7" t="str">
        <x:v>Lloop in pulsed current loop</x:v>
      </x:c>
      <x:c r="K28" s="7" t="str">
        <x:v>Medium</x:v>
      </x:c>
      <x:c r="L28" s="7" t="str">
        <x:v>S009, S021, S023</x:v>
      </x:c>
      <x:c r="M28" s="7" t="str">
        <x:v>https://www.analog.com/en/resources/app-notes/an-136.html ; https://www.analog.com/en/resources/technical-articles/the-unseen-ring.html ; https://www.ti.com/lit/pdf/snva729</x:v>
      </x:c>
    </x:row>
    <x:row r="29">
      <x:c r="A29" s="7" t="str">
        <x:v>R027</x:v>
      </x:c>
      <x:c r="B29" s="7" t="str">
        <x:v>DC/DC</x:v>
      </x:c>
      <x:c r="C29" s="7" t="str">
        <x:v>Buck switch node polygon</x:v>
      </x:c>
      <x:c r="D29" s="7" t="str">
        <x:v>Parasitic capacitance to GND/chassis</x:v>
      </x:c>
      <x:c r="E29" s="7" t="str">
        <x:v>Model Csw ≈ area-to-plane capacitance; minimize copper area</x:v>
      </x:c>
      <x:c r="F29" s="7" t="str">
        <x:v>Displacement current I=C·dv/dt can be large for fast edges</x:v>
      </x:c>
      <x:c r="G29" s="7" t="str">
        <x:v>C=εA/d, I=C·dv/dt</x:v>
      </x:c>
      <x:c r="H29" s="7" t="str">
        <x:v>area, dielectric, dv/dt</x:v>
      </x:c>
      <x:c r="I29" s="7" t="str">
        <x:v>CM noise and radiated coupling</x:v>
      </x:c>
      <x:c r="J29" s="7" t="str">
        <x:v>C from SW to GND/chassis</x:v>
      </x:c>
      <x:c r="K29" s="7" t="str">
        <x:v>High</x:v>
      </x:c>
      <x:c r="L29" s="7" t="str">
        <x:v>S003, S009, S021</x:v>
      </x:c>
      <x:c r="M29" s="7" t="str">
        <x:v>https://www.we-online.com/files/pdf1/emc-design-tips-2025_en.pdf ; https://www.analog.com/en/resources/app-notes/an-136.html ; https://www.analog.com/en/resources/technical-articles/the-unseen-ring.html</x:v>
      </x:c>
    </x:row>
    <x:row r="30">
      <x:c r="A30" s="7" t="str">
        <x:v>R028</x:v>
      </x:c>
      <x:c r="B30" s="7" t="str">
        <x:v>DC/DC</x:v>
      </x:c>
      <x:c r="C30" s="7" t="str">
        <x:v>Gate drive loop</x:v>
      </x:c>
      <x:c r="D30" s="7" t="str">
        <x:v>Series inductance</x:v>
      </x:c>
      <x:c r="E30" s="7" t="str">
        <x:v>Use 0.5–3 nH as first-pass depending on trace/via path</x:v>
      </x:c>
      <x:c r="F30" s="7" t="str">
        <x:v>Can cause gate ringing and EMI; route gate and return together</x:v>
      </x:c>
      <x:c r="G30" s="7" t="str">
        <x:v>L≈trace L + via L; validate via ringing</x:v>
      </x:c>
      <x:c r="H30" s="7" t="str">
        <x:v>gate trace length, return, resistor placement</x:v>
      </x:c>
      <x:c r="I30" s="7" t="str">
        <x:v>MOSFET/GaN gate modeling</x:v>
      </x:c>
      <x:c r="J30" s="7" t="str">
        <x:v>Lser in gate and source return</x:v>
      </x:c>
      <x:c r="K30" s="7" t="str">
        <x:v>Medium</x:v>
      </x:c>
      <x:c r="L30" s="7" t="str">
        <x:v>S009, S023</x:v>
      </x:c>
      <x:c r="M30" s="7" t="str">
        <x:v>https://www.analog.com/en/resources/app-notes/an-136.html ; https://www.ti.com/lit/pdf/snva729</x:v>
      </x:c>
    </x:row>
    <x:row r="31">
      <x:c r="A31" s="7" t="str">
        <x:v>R029</x:v>
      </x:c>
      <x:c r="B31" s="7" t="str">
        <x:v>DC/DC</x:v>
      </x:c>
      <x:c r="C31" s="7" t="str">
        <x:v>Current sense Kelvin pair</x:v>
      </x:c>
      <x:c r="D31" s="7" t="str">
        <x:v>Mutual pickup / loop area</x:v>
      </x:c>
      <x:c r="E31" s="7" t="str">
        <x:v>Keep pair tight; model pickup as V=M·di/dt if near power loop</x:v>
      </x:c>
      <x:c r="F31" s="7" t="str">
        <x:v>Sense signal often &lt;100mV; susceptible to di/dt noise</x:v>
      </x:c>
      <x:c r="G31" s="7" t="str">
        <x:v>M=k√(L1L2), or empirical injected source</x:v>
      </x:c>
      <x:c r="H31" s="7" t="str">
        <x:v>spacing, parallel length, nearby di/dt</x:v>
      </x:c>
      <x:c r="I31" s="7" t="str">
        <x:v>Current-mode DC/DC, shunt sense</x:v>
      </x:c>
      <x:c r="J31" s="7" t="str">
        <x:v>Voltage source coupled to sense input</x:v>
      </x:c>
      <x:c r="K31" s="7" t="str">
        <x:v>Medium</x:v>
      </x:c>
      <x:c r="L31" s="7" t="str">
        <x:v>S009, S003</x:v>
      </x:c>
      <x:c r="M31" s="7" t="str">
        <x:v>https://www.analog.com/en/resources/app-notes/an-136.html ; https://www.we-online.com/files/pdf1/emc-design-tips-2025_en.pdf</x:v>
      </x:c>
    </x:row>
    <x:row r="32">
      <x:c r="A32" s="7" t="str">
        <x:v>R030</x:v>
      </x:c>
      <x:c r="B32" s="7" t="str">
        <x:v>DC/DC</x:v>
      </x:c>
      <x:c r="C32" s="7" t="str">
        <x:v>Snubber loop from SW to GND/VIN</x:v>
      </x:c>
      <x:c r="D32" s="7" t="str">
        <x:v>Snubber connection inductance</x:v>
      </x:c>
      <x:c r="E32" s="7" t="str">
        <x:v>Assume 0.5–2 nH if tight; poor placement can invalidate snubber</x:v>
      </x:c>
      <x:c r="F32" s="7" t="str">
        <x:v>Snubber must sit at source of ringing current</x:v>
      </x:c>
      <x:c r="G32" s="7" t="str">
        <x:v>Fit L/C from ringing: Cpar=1/((2πf)^2L) or use two-cap method</x:v>
      </x:c>
      <x:c r="H32" s="7" t="str">
        <x:v>ringing frequency, added cap, geometry</x:v>
      </x:c>
      <x:c r="I32" s="7" t="str">
        <x:v>RC/RCD snubber in LTspice</x:v>
      </x:c>
      <x:c r="J32" s="7" t="str">
        <x:v>Series L with snubber C/R</x:v>
      </x:c>
      <x:c r="K32" s="7" t="str">
        <x:v>Medium</x:v>
      </x:c>
      <x:c r="L32" s="7" t="str">
        <x:v>S021, S009</x:v>
      </x:c>
      <x:c r="M32" s="7" t="str">
        <x:v>https://www.analog.com/en/resources/technical-articles/the-unseen-ring.html ; https://www.analog.com/en/resources/app-notes/an-136.html</x:v>
      </x:c>
    </x:row>
    <x:row r="33">
      <x:c r="A33" s="7" t="str">
        <x:v>R031</x:v>
      </x:c>
      <x:c r="B33" s="7" t="str">
        <x:v>AC/DC</x:v>
      </x:c>
      <x:c r="C33" s="7" t="str">
        <x:v>Common-mode capacitance primary-secondary</x:v>
      </x:c>
      <x:c r="D33" s="7" t="str">
        <x:v>Parasitic capacitance</x:v>
      </x:c>
      <x:c r="E33" s="7" t="str">
        <x:v>SMPS transformer can be tens to hundreds pF; Würth slides note up to 1000pF as possible coupling</x:v>
      </x:c>
      <x:c r="F33" s="7" t="str">
        <x:v>Dominant CM conducted-emissions path in offline supplies</x:v>
      </x:c>
      <x:c r="G33" s="7" t="str">
        <x:v>Use measured/vendor interwinding C or estimate geometry</x:v>
      </x:c>
      <x:c r="H33" s="7" t="str">
        <x:v>transformer construction, shield, winding area</x:v>
      </x:c>
      <x:c r="I33" s="7" t="str">
        <x:v>AC/DC CM noise model</x:v>
      </x:c>
      <x:c r="J33" s="7" t="str">
        <x:v>Cpri-sec between switching node/primary and secondary/PE</x:v>
      </x:c>
      <x:c r="K33" s="7" t="str">
        <x:v>Medium</x:v>
      </x:c>
      <x:c r="L33" s="7" t="str">
        <x:v>S003, S029</x:v>
      </x:c>
      <x:c r="M33" s="7" t="str">
        <x:v>https://www.we-online.com/files/pdf1/emc-design-tips-2025_en.pdf ; https://www.we-online.com/files/pdf1/03.-design-for-emc-2026.pdf</x:v>
      </x:c>
    </x:row>
    <x:row r="34">
      <x:c r="A34" s="7" t="str">
        <x:v>R032</x:v>
      </x:c>
      <x:c r="B34" s="7" t="str">
        <x:v>AC/DC</x:v>
      </x:c>
      <x:c r="C34" s="7" t="str">
        <x:v>Y-capacitor placement</x:v>
      </x:c>
      <x:c r="D34" s="7" t="str">
        <x:v>Connection inductance</x:v>
      </x:c>
      <x:c r="E34" s="7" t="str">
        <x:v>Keep to chassis/PE return short; model ESL + trace L</x:v>
      </x:c>
      <x:c r="F34" s="7" t="str">
        <x:v>Lead/trace inductance reduces HF effectiveness</x:v>
      </x:c>
      <x:c r="G34" s="7" t="str">
        <x:v>Add 0.5–5 nH based on path length</x:v>
      </x:c>
      <x:c r="H34" s="7" t="str">
        <x:v>distance, via/chassis connection</x:v>
      </x:c>
      <x:c r="I34" s="7" t="str">
        <x:v>CM filter modeling</x:v>
      </x:c>
      <x:c r="J34" s="7" t="str">
        <x:v>C with series ESL and ESR</x:v>
      </x:c>
      <x:c r="K34" s="7" t="str">
        <x:v>Medium</x:v>
      </x:c>
      <x:c r="L34" s="7" t="str">
        <x:v>S003, S020</x:v>
      </x:c>
      <x:c r="M34" s="7" t="str">
        <x:v>https://www.we-online.com/files/pdf1/emc-design-tips-2025_en.pdf ; https://www.coilcraft.com/en-us/resources/application-notes/fundamentals-of-electromagnetic-compliance/</x:v>
      </x:c>
    </x:row>
    <x:row r="35">
      <x:c r="A35" s="7" t="str">
        <x:v>R033</x:v>
      </x:c>
      <x:c r="B35" s="7" t="str">
        <x:v>AC/DC</x:v>
      </x:c>
      <x:c r="C35" s="7" t="str">
        <x:v>Mains input traces / fuse / NTC loops</x:v>
      </x:c>
      <x:c r="D35" s="7" t="str">
        <x:v>Differential loop inductance</x:v>
      </x:c>
      <x:c r="E35" s="7" t="str">
        <x:v>Use wide/short paths; add trace L by geometry for high-frequency model</x:v>
      </x:c>
      <x:c r="F35" s="7" t="str">
        <x:v>Safety spacing may force loops; model for EMI only, not safety compliance</x:v>
      </x:c>
      <x:c r="G35" s="7" t="str">
        <x:v>Ltrace+wire L; include LISN source impedance</x:v>
      </x:c>
      <x:c r="H35" s="7" t="str">
        <x:v>path length, trace width, return</x:v>
      </x:c>
      <x:c r="I35" s="7" t="str">
        <x:v>Conducted EMI pre-compliance model</x:v>
      </x:c>
      <x:c r="J35" s="7" t="str">
        <x:v>Series L/R in input path</x:v>
      </x:c>
      <x:c r="K35" s="7" t="str">
        <x:v>Medium</x:v>
      </x:c>
      <x:c r="L35" s="7" t="str">
        <x:v>S022, S020</x:v>
      </x:c>
      <x:c r="M35" s="7" t="str">
        <x:v>https://www.ti.com/lit/ml/slyp762/slyp762.pdf ; https://www.coilcraft.com/en-us/resources/application-notes/fundamentals-of-electromagnetic-compliance/</x:v>
      </x:c>
    </x:row>
    <x:row r="36">
      <x:c r="A36" s="7" t="str">
        <x:v>R034</x:v>
      </x:c>
      <x:c r="B36" s="7" t="str">
        <x:v>AC/DC</x:v>
      </x:c>
      <x:c r="C36" s="7" t="str">
        <x:v>Creepage/clearance slots</x:v>
      </x:c>
      <x:c r="D36" s="7" t="str">
        <x:v>Parasitic impact</x:v>
      </x:c>
      <x:c r="E36" s="7" t="str">
        <x:v>Slots reduce capacitance but may force return path detours</x:v>
      </x:c>
      <x:c r="F36" s="7" t="str">
        <x:v>Good for isolation, can worsen loop area if poorly placed</x:v>
      </x:c>
      <x:c r="G36" s="7" t="str">
        <x:v>Compute reduced overlap C; add return inductance detour</x:v>
      </x:c>
      <x:c r="H36" s="7" t="str">
        <x:v>slot geometry, overlap</x:v>
      </x:c>
      <x:c r="I36" s="7" t="str">
        <x:v>Isolation and EMI tradeoff</x:v>
      </x:c>
      <x:c r="J36" s="7" t="str">
        <x:v>Reduced C + added L</x:v>
      </x:c>
      <x:c r="K36" s="7" t="str">
        <x:v>Low</x:v>
      </x:c>
      <x:c r="L36" s="7" t="str">
        <x:v>S029, S003</x:v>
      </x:c>
      <x:c r="M36" s="7" t="str">
        <x:v>https://www.we-online.com/files/pdf1/03.-design-for-emc-2026.pdf ; https://www.we-online.com/files/pdf1/emc-design-tips-2025_en.pdf</x:v>
      </x:c>
    </x:row>
    <x:row r="37">
      <x:c r="A37" s="7" t="str">
        <x:v>R035</x:v>
      </x:c>
      <x:c r="B37" s="7" t="str">
        <x:v>Cable</x:v>
      </x:c>
      <x:c r="C37" s="7" t="str">
        <x:v>Generic twisted pair / instrumentation cable</x:v>
      </x:c>
      <x:c r="D37" s="7" t="str">
        <x:v>L and C default</x:v>
      </x:c>
      <x:c r="E37" s="7" t="str">
        <x:v>Use 0.5–0.8 µH/m and 50–120 pF/m if no datasheet</x:v>
      </x:c>
      <x:c r="F37" s="7" t="str">
        <x:v>Actual cable can differ; shield changes capacitance</x:v>
      </x:c>
      <x:c r="G37" s="7" t="str">
        <x:v>Prefer datasheet; otherwise TL formulas from Z0 and velocity</x:v>
      </x:c>
      <x:c r="H37" s="7" t="str">
        <x:v>length, cable type, shield</x:v>
      </x:c>
      <x:c r="I37" s="7" t="str">
        <x:v>External cable EMI/termination model</x:v>
      </x:c>
      <x:c r="J37" s="7" t="str">
        <x:v>L/C ladder or TLINE</x:v>
      </x:c>
      <x:c r="K37" s="7" t="str">
        <x:v>Medium</x:v>
      </x:c>
      <x:c r="L37" s="7" t="str">
        <x:v>S010, S019, S018</x:v>
      </x:c>
      <x:c r="M37" s="7" t="str">
        <x:v>https://www.belden.com/products/cable/electronic-wire-cable/multi-pair-cable/8760 ; https://www.ti.com/lit/pdf/snla028 ; https://www.ti.com/lit/pdf/snla043</x:v>
      </x:c>
    </x:row>
    <x:row r="38">
      <x:c r="A38" s="7" t="str">
        <x:v>R036</x:v>
      </x:c>
      <x:c r="B38" s="7" t="str">
        <x:v>Cable</x:v>
      </x:c>
      <x:c r="C38" s="7" t="str">
        <x:v>Belden 8760 example</x:v>
      </x:c>
      <x:c r="D38" s="7" t="str">
        <x:v>L and C per length</x:v>
      </x:c>
      <x:c r="E38" s="7" t="str">
        <x:v>0.59 µH/m and 89.2 pF/m conductor-to-conductor</x:v>
      </x:c>
      <x:c r="F38" s="7" t="str">
        <x:v>Use only as example for similar shielded twisted pair</x:v>
      </x:c>
      <x:c r="G38" s="7" t="str">
        <x:v>Use datasheet values directly</x:v>
      </x:c>
      <x:c r="H38" s="7" t="str">
        <x:v>cable length</x:v>
      </x:c>
      <x:c r="I38" s="7" t="str">
        <x:v>Worked default for shielded pair</x:v>
      </x:c>
      <x:c r="J38" s="7" t="str">
        <x:v>LTRA/TLINE or lumped π sections</x:v>
      </x:c>
      <x:c r="K38" s="7" t="str">
        <x:v>High</x:v>
      </x:c>
      <x:c r="L38" s="7" t="str">
        <x:v>S010</x:v>
      </x:c>
      <x:c r="M38" s="7" t="str">
        <x:v>https://www.belden.com/products/cable/electronic-wire-cable/multi-pair-cable/8760</x:v>
      </x:c>
    </x:row>
    <x:row r="39">
      <x:c r="A39" s="7" t="str">
        <x:v>R037</x:v>
      </x:c>
      <x:c r="B39" s="7" t="str">
        <x:v>Cable</x:v>
      </x:c>
      <x:c r="C39" s="7" t="str">
        <x:v>50Ω coax default</x:v>
      </x:c>
      <x:c r="D39" s="7" t="str">
        <x:v>L and C per length</x:v>
      </x:c>
      <x:c r="E39" s="7" t="str">
        <x:v>Approx. L≈250 nH/m, C≈100 pF/m</x:v>
      </x:c>
      <x:c r="F39" s="7" t="str">
        <x:v>Use actual cable datasheet; velocity factor changes values</x:v>
      </x:c>
      <x:c r="G39" s="7" t="str">
        <x:v>For lossless line: L'=Z0/v, C'=1/(Z0·v)</x:v>
      </x:c>
      <x:c r="H39" s="7" t="str">
        <x:v>Z0, velocity factor</x:v>
      </x:c>
      <x:c r="I39" s="7" t="str">
        <x:v>External coax connection model</x:v>
      </x:c>
      <x:c r="J39" s="7" t="str">
        <x:v>TLINE or distributed ladder</x:v>
      </x:c>
      <x:c r="K39" s="7" t="str">
        <x:v>Medium</x:v>
      </x:c>
      <x:c r="L39" s="7" t="str">
        <x:v>S018, S019</x:v>
      </x:c>
      <x:c r="M39" s="7" t="str">
        <x:v>https://www.ti.com/lit/pdf/snla043 ; https://www.ti.com/lit/pdf/snla028</x:v>
      </x:c>
    </x:row>
    <x:row r="40">
      <x:c r="A40" s="7" t="str">
        <x:v>R038</x:v>
      </x:c>
      <x:c r="B40" s="7" t="str">
        <x:v>Cable</x:v>
      </x:c>
      <x:c r="C40" s="7" t="str">
        <x:v>Cable shield pigtail</x:v>
      </x:c>
      <x:c r="D40" s="7" t="str">
        <x:v>Inductance</x:v>
      </x:c>
      <x:c r="E40" s="7" t="str">
        <x:v>≈5–15 nH/cm as a rough pigtail inductance</x:v>
      </x:c>
      <x:c r="F40" s="7" t="str">
        <x:v>Pigtail becomes ineffective at high frequency; 360° bond preferred</x:v>
      </x:c>
      <x:c r="G40" s="7" t="str">
        <x:v>Wire/pair inductance estimate; compare XL=2πfL</x:v>
      </x:c>
      <x:c r="H40" s="7" t="str">
        <x:v>pigtail length, diameter, loop</x:v>
      </x:c>
      <x:c r="I40" s="7" t="str">
        <x:v>CM/radiated emission mitigation model</x:v>
      </x:c>
      <x:c r="J40" s="7" t="str">
        <x:v>Series L in shield return</x:v>
      </x:c>
      <x:c r="K40" s="7" t="str">
        <x:v>Medium</x:v>
      </x:c>
      <x:c r="L40" s="7" t="str">
        <x:v>S012, S003</x:v>
      </x:c>
      <x:c r="M40" s="7" t="str">
        <x:v>https://www.ieee.li/pdf/viewgraphs/emc_inductors_and_filters.pdf ; https://www.we-online.com/files/pdf1/emc-design-tips-2025_en.pdf</x:v>
      </x:c>
    </x:row>
    <x:row r="41">
      <x:c r="A41" s="7" t="str">
        <x:v>R039</x:v>
      </x:c>
      <x:c r="B41" s="7" t="str">
        <x:v>Cable</x:v>
      </x:c>
      <x:c r="C41" s="7" t="str">
        <x:v>Two parallel wires 2mm dia, 1cm spaced</x:v>
      </x:c>
      <x:c r="D41" s="7" t="str">
        <x:v>Parasitic C</x:v>
      </x:c>
      <x:c r="E41" s="7" t="str">
        <x:v>≈0.1 pF/cm from Würth slide example</x:v>
      </x:c>
      <x:c r="F41" s="7" t="str">
        <x:v>Illustrative only; dielectric and geometry matter</x:v>
      </x:c>
      <x:c r="G41" s="7" t="str">
        <x:v>Use line/cable calculator or datasheet</x:v>
      </x:c>
      <x:c r="H41" s="7" t="str">
        <x:v>wire diameter, spacing, length</x:v>
      </x:c>
      <x:c r="I41" s="7" t="str">
        <x:v>Quick capacitive coupling estimate</x:v>
      </x:c>
      <x:c r="J41" s="7" t="str">
        <x:v>Ccpl between conductors</x:v>
      </x:c>
      <x:c r="K41" s="7" t="str">
        <x:v>Medium</x:v>
      </x:c>
      <x:c r="L41" s="7" t="str">
        <x:v>S012</x:v>
      </x:c>
      <x:c r="M41" s="7" t="str">
        <x:v>https://www.ieee.li/pdf/viewgraphs/emc_inductors_and_filters.pdf</x:v>
      </x:c>
    </x:row>
    <x:row r="42">
      <x:c r="A42" s="7" t="str">
        <x:v>R040</x:v>
      </x:c>
      <x:c r="B42" s="7" t="str">
        <x:v>Cable</x:v>
      </x:c>
      <x:c r="C42" s="7" t="str">
        <x:v>Two parallel wires 2mm dia, 1cm spaced</x:v>
      </x:c>
      <x:c r="D42" s="7" t="str">
        <x:v>Parasitic L</x:v>
      </x:c>
      <x:c r="E42" s="7" t="str">
        <x:v>≈10 nH/cm from Würth slide example</x:v>
      </x:c>
      <x:c r="F42" s="7" t="str">
        <x:v>Illustrative; loop geometry controls inductance</x:v>
      </x:c>
      <x:c r="G42" s="7" t="str">
        <x:v>Use loop inductance / cable calculator</x:v>
      </x:c>
      <x:c r="H42" s="7" t="str">
        <x:v>wire diameter, spacing, length</x:v>
      </x:c>
      <x:c r="I42" s="7" t="str">
        <x:v>Quick inductive coupling estimate</x:v>
      </x:c>
      <x:c r="J42" s="7" t="str">
        <x:v>Lseries or M coupling</x:v>
      </x:c>
      <x:c r="K42" s="7" t="str">
        <x:v>Medium</x:v>
      </x:c>
      <x:c r="L42" s="7" t="str">
        <x:v>S012</x:v>
      </x:c>
      <x:c r="M42" s="7" t="str">
        <x:v>https://www.ieee.li/pdf/viewgraphs/emc_inductors_and_filters.pdf</x:v>
      </x:c>
    </x:row>
    <x:row r="43">
      <x:c r="A43" s="7" t="str">
        <x:v>R041</x:v>
      </x:c>
      <x:c r="B43" s="7" t="str">
        <x:v>Fast signals</x:v>
      </x:c>
      <x:c r="C43" s="7" t="str">
        <x:v>Trace length vs rise time</x:v>
      </x:c>
      <x:c r="D43" s="7" t="str">
        <x:v>Transmission-line threshold</x:v>
      </x:c>
      <x:c r="E43" s="7" t="str">
        <x:v>Treat as TL if one-way delay &gt; ~tr/6 to tr/10</x:v>
      </x:c>
      <x:c r="F43" s="7" t="str">
        <x:v>Faster edges matter more than clock frequency</x:v>
      </x:c>
      <x:c r="G43" s="7" t="str">
        <x:v>td = length / velocity; compare to edge rise time</x:v>
      </x:c>
      <x:c r="H43" s="7" t="str">
        <x:v>rise time, length, εeff</x:v>
      </x:c>
      <x:c r="I43" s="7" t="str">
        <x:v>Digital/communication lines</x:v>
      </x:c>
      <x:c r="J43" s="7" t="str">
        <x:v>Transmission line instead of lumped C</x:v>
      </x:c>
      <x:c r="K43" s="7" t="str">
        <x:v>High</x:v>
      </x:c>
      <x:c r="L43" s="7" t="str">
        <x:v>S018, S019, S011</x:v>
      </x:c>
      <x:c r="M43" s="7" t="str">
        <x:v>https://www.ti.com/lit/pdf/snla043 ; https://www.ti.com/lit/pdf/snla028 ; https://www.ti.com/lit/pdf/snla035</x:v>
      </x:c>
    </x:row>
    <x:row r="44">
      <x:c r="A44" s="7" t="str">
        <x:v>R042</x:v>
      </x:c>
      <x:c r="B44" s="7" t="str">
        <x:v>Fast signals</x:v>
      </x:c>
      <x:c r="C44" s="7" t="str">
        <x:v>Microstrip propagation delay FR-4</x:v>
      </x:c>
      <x:c r="D44" s="7" t="str">
        <x:v>Delay</x:v>
      </x:c>
      <x:c r="E44" s="7" t="str">
        <x:v>≈140–170 ps/in (≈55–67 ps/cm) typical</x:v>
      </x:c>
      <x:c r="F44" s="7" t="str">
        <x:v>Depends on εeff; stripline often slower</x:v>
      </x:c>
      <x:c r="G44" s="7" t="str">
        <x:v>td≈√εeff/c; or calculator</x:v>
      </x:c>
      <x:c r="H44" s="7" t="str">
        <x:v>εeff, geometry</x:v>
      </x:c>
      <x:c r="I44" s="7" t="str">
        <x:v>Length-to-delay estimates</x:v>
      </x:c>
      <x:c r="J44" s="7" t="str">
        <x:v>TLINE delay parameter</x:v>
      </x:c>
      <x:c r="K44" s="7" t="str">
        <x:v>High</x:v>
      </x:c>
      <x:c r="L44" s="7" t="str">
        <x:v>S011, S006</x:v>
      </x:c>
      <x:c r="M44" s="7" t="str">
        <x:v>https://www.ti.com/lit/pdf/snla035 ; https://www.protoexpress.com/tools/pcb-impedance-calculator/</x:v>
      </x:c>
    </x:row>
    <x:row r="45">
      <x:c r="A45" s="7" t="str">
        <x:v>R043</x:v>
      </x:c>
      <x:c r="B45" s="7" t="str">
        <x:v>Fast signals</x:v>
      </x:c>
      <x:c r="C45" s="7" t="str">
        <x:v>Stripline propagation delay FR-4</x:v>
      </x:c>
      <x:c r="D45" s="7" t="str">
        <x:v>Delay</x:v>
      </x:c>
      <x:c r="E45" s="7" t="str">
        <x:v>≈160–190 ps/in (≈63–75 ps/cm) typical</x:v>
      </x:c>
      <x:c r="F45" s="7" t="str">
        <x:v>Depends on εr and material; exact stack-up needed</x:v>
      </x:c>
      <x:c r="G45" s="7" t="str">
        <x:v>td≈√εr/c</x:v>
      </x:c>
      <x:c r="H45" s="7" t="str">
        <x:v>εr, geometry</x:v>
      </x:c>
      <x:c r="I45" s="7" t="str">
        <x:v>Internal controlled impedance nets</x:v>
      </x:c>
      <x:c r="J45" s="7" t="str">
        <x:v>TLINE delay parameter</x:v>
      </x:c>
      <x:c r="K45" s="7" t="str">
        <x:v>High</x:v>
      </x:c>
      <x:c r="L45" s="7" t="str">
        <x:v>S011, S006</x:v>
      </x:c>
      <x:c r="M45" s="7" t="str">
        <x:v>https://www.ti.com/lit/pdf/snla035 ; https://www.protoexpress.com/tools/pcb-impedance-calculator/</x:v>
      </x:c>
    </x:row>
    <x:row r="46">
      <x:c r="A46" s="7" t="str">
        <x:v>R044</x:v>
      </x:c>
      <x:c r="B46" s="7" t="str">
        <x:v>Fast signals</x:v>
      </x:c>
      <x:c r="C46" s="7" t="str">
        <x:v>Single-ended CMOS output trace</x:v>
      </x:c>
      <x:c r="D46" s="7" t="str">
        <x:v>Load capacitance</x:v>
      </x:c>
      <x:c r="E46" s="7" t="str">
        <x:v>Trace adds ≈0.1pF/mm for ~50Ω line</x:v>
      </x:c>
      <x:c r="F46" s="7" t="str">
        <x:v>Long stubs can dominate edge rate/overshoot</x:v>
      </x:c>
      <x:c r="G46" s="7" t="str">
        <x:v>C'=td/Z0</x:v>
      </x:c>
      <x:c r="H46" s="7" t="str">
        <x:v>length, Z0, td</x:v>
      </x:c>
      <x:c r="I46" s="7" t="str">
        <x:v>Clock/data line loading</x:v>
      </x:c>
      <x:c r="J46" s="7" t="str">
        <x:v>Distributed line or Cload</x:v>
      </x:c>
      <x:c r="K46" s="7" t="str">
        <x:v>Medium</x:v>
      </x:c>
      <x:c r="L46" s="7" t="str">
        <x:v>S011, S018</x:v>
      </x:c>
      <x:c r="M46" s="7" t="str">
        <x:v>https://www.ti.com/lit/pdf/snla035 ; https://www.ti.com/lit/pdf/snla043</x:v>
      </x:c>
    </x:row>
    <x:row r="47">
      <x:c r="A47" s="7" t="str">
        <x:v>R045</x:v>
      </x:c>
      <x:c r="B47" s="7" t="str">
        <x:v>Fast signals</x:v>
      </x:c>
      <x:c r="C47" s="7" t="str">
        <x:v>Differential pair</x:v>
      </x:c>
      <x:c r="D47" s="7" t="str">
        <x:v>Odd-mode/differential coupling</x:v>
      </x:c>
      <x:c r="E47" s="7" t="str">
        <x:v>Do not estimate from single-ended only when spacing is small</x:v>
      </x:c>
      <x:c r="F47" s="7" t="str">
        <x:v>Use calculator/field solver; differential impedance and skew matter</x:v>
      </x:c>
      <x:c r="G47" s="7" t="str">
        <x:v>Use 2D solver or Saturn/Sierra tool</x:v>
      </x:c>
      <x:c r="H47" s="7" t="str">
        <x:v>width, spacing, height, εr</x:v>
      </x:c>
      <x:c r="I47" s="7" t="str">
        <x:v>USB/LVDS/CAN/Ethernet differential signals</x:v>
      </x:c>
      <x:c r="J47" s="7" t="str">
        <x:v>Coupled transmission lines</x:v>
      </x:c>
      <x:c r="K47" s="7" t="str">
        <x:v>High</x:v>
      </x:c>
      <x:c r="L47" s="7" t="str">
        <x:v>S004, S006, S018</x:v>
      </x:c>
      <x:c r="M47" s="7" t="str">
        <x:v>https://saturnpcb.com/saturn-pcb-toolkit/ ; https://www.protoexpress.com/tools/pcb-impedance-calculator/ ; https://www.ti.com/lit/pdf/snla043</x:v>
      </x:c>
    </x:row>
    <x:row r="48">
      <x:c r="A48" s="7" t="str">
        <x:v>R046</x:v>
      </x:c>
      <x:c r="B48" s="7" t="str">
        <x:v>Fast signals</x:v>
      </x:c>
      <x:c r="C48" s="7" t="str">
        <x:v>Series termination resistor</x:v>
      </x:c>
      <x:c r="D48" s="7" t="str">
        <x:v>Damping of trace inductance/reflections</x:v>
      </x:c>
      <x:c r="E48" s="7" t="str">
        <x:v>Place at source; value ≈Z0−Rdriver</x:v>
      </x:c>
      <x:c r="F48" s="7" t="str">
        <x:v>Also reduces edge rate and EMI</x:v>
      </x:c>
      <x:c r="G48" s="7" t="str">
        <x:v>Use reflection model; Rseries chosen against Z0</x:v>
      </x:c>
      <x:c r="H48" s="7" t="str">
        <x:v>driver impedance, Z0</x:v>
      </x:c>
      <x:c r="I48" s="7" t="str">
        <x:v>CMOS clocks, data lines</x:v>
      </x:c>
      <x:c r="J48" s="7" t="str">
        <x:v>Rsource + TLINE</x:v>
      </x:c>
      <x:c r="K48" s="7" t="str">
        <x:v>High</x:v>
      </x:c>
      <x:c r="L48" s="7" t="str">
        <x:v>S018, S019</x:v>
      </x:c>
      <x:c r="M48" s="7" t="str">
        <x:v>https://www.ti.com/lit/pdf/snla043 ; https://www.ti.com/lit/pdf/snla028</x:v>
      </x:c>
    </x:row>
    <x:row r="49">
      <x:c r="A49" s="7" t="str">
        <x:v>R047</x:v>
      </x:c>
      <x:c r="B49" s="7" t="str">
        <x:v>Fast signals</x:v>
      </x:c>
      <x:c r="C49" s="7" t="str">
        <x:v>Common-mode choke footprint and routing</x:v>
      </x:c>
      <x:c r="D49" s="7" t="str">
        <x:v>Parasitic capacitance / imbalance</x:v>
      </x:c>
      <x:c r="E49" s="7" t="str">
        <x:v>Model interwinding C and asymmetry if &gt;10s MHz</x:v>
      </x:c>
      <x:c r="F49" s="7" t="str">
        <x:v>Layout imbalance converts DM↔CM</x:v>
      </x:c>
      <x:c r="G49" s="7" t="str">
        <x:v>Use vendor S-parameters; add C across windings if simplified</x:v>
      </x:c>
      <x:c r="H49" s="7" t="str">
        <x:v>choke model, layout symmetry</x:v>
      </x:c>
      <x:c r="I49" s="7" t="str">
        <x:v>USB/Ethernet/CAN EMI filtering</x:v>
      </x:c>
      <x:c r="J49" s="7" t="str">
        <x:v>Coupled inductors + parasitic C</x:v>
      </x:c>
      <x:c r="K49" s="7" t="str">
        <x:v>Medium</x:v>
      </x:c>
      <x:c r="L49" s="7" t="str">
        <x:v>S020, S002</x:v>
      </x:c>
      <x:c r="M49" s="7" t="str">
        <x:v>https://www.coilcraft.com/en-us/resources/application-notes/fundamentals-of-electromagnetic-compliance/ ; https://www.analog.com/en/resources/technical-articles/how-to-get-the-best-results-using-ltspice-part-1.html</x:v>
      </x:c>
    </x:row>
    <x:row r="50">
      <x:c r="A50" s="7" t="str">
        <x:v>R048</x:v>
      </x:c>
      <x:c r="B50" s="7" t="str">
        <x:v>Coupling</x:v>
      </x:c>
      <x:c r="C50" s="7" t="str">
        <x:v>Parallel traces on same layer</x:v>
      </x:c>
      <x:c r="D50" s="7" t="str">
        <x:v>Capacitive coupling</x:v>
      </x:c>
      <x:c r="E50" s="7" t="str">
        <x:v>Coupling increases with parallel length and decreases with spacing</x:v>
      </x:c>
      <x:c r="F50" s="7" t="str">
        <x:v>Use 3W spacing as coarse routing heuristic; field solver for exact C</x:v>
      </x:c>
      <x:c r="G50" s="7" t="str">
        <x:v>Ccpl proportional to parallel length / spacing; calculator preferred</x:v>
      </x:c>
      <x:c r="H50" s="7" t="str">
        <x:v>length, spacing, height, εr</x:v>
      </x:c>
      <x:c r="I50" s="7" t="str">
        <x:v>Aggressor-victim EMI/crosstalk screening</x:v>
      </x:c>
      <x:c r="J50" s="7" t="str">
        <x:v>Ccpl between traces</x:v>
      </x:c>
      <x:c r="K50" s="7" t="str">
        <x:v>Medium</x:v>
      </x:c>
      <x:c r="L50" s="7" t="str">
        <x:v>S003, S004</x:v>
      </x:c>
      <x:c r="M50" s="7" t="str">
        <x:v>https://www.we-online.com/files/pdf1/emc-design-tips-2025_en.pdf ; https://saturnpcb.com/saturn-pcb-toolkit/</x:v>
      </x:c>
    </x:row>
    <x:row r="51">
      <x:c r="A51" s="7" t="str">
        <x:v>R049</x:v>
      </x:c>
      <x:c r="B51" s="7" t="str">
        <x:v>Coupling</x:v>
      </x:c>
      <x:c r="C51" s="7" t="str">
        <x:v>Parallel high-current loops</x:v>
      </x:c>
      <x:c r="D51" s="7" t="str">
        <x:v>Mutual inductance</x:v>
      </x:c>
      <x:c r="E51" s="7" t="str">
        <x:v>Reduce loop area and increase distance; M=k√(L1L2)</x:v>
      </x:c>
      <x:c r="F51" s="7" t="str">
        <x:v>k can vary from &lt;0.01 to &gt;0.3 by geometry</x:v>
      </x:c>
      <x:c r="G51" s="7" t="str">
        <x:v>Use mutual coupling coefficient in LTspice K statement</x:v>
      </x:c>
      <x:c r="H51" s="7" t="str">
        <x:v>loop areas, spacing, orientation</x:v>
      </x:c>
      <x:c r="I51" s="7" t="str">
        <x:v>Inductive pickup near switcher/motor/relay</x:v>
      </x:c>
      <x:c r="J51" s="7" t="str">
        <x:v>Mutual inductors or injected V=M·di/dt</x:v>
      </x:c>
      <x:c r="K51" s="7" t="str">
        <x:v>Medium</x:v>
      </x:c>
      <x:c r="L51" s="7" t="str">
        <x:v>S003, S012</x:v>
      </x:c>
      <x:c r="M51" s="7" t="str">
        <x:v>https://www.we-online.com/files/pdf1/emc-design-tips-2025_en.pdf ; https://www.ieee.li/pdf/viewgraphs/emc_inductors_and_filters.pdf</x:v>
      </x:c>
    </x:row>
    <x:row r="52">
      <x:c r="A52" s="7" t="str">
        <x:v>R050</x:v>
      </x:c>
      <x:c r="B52" s="7" t="str">
        <x:v>Coupling</x:v>
      </x:c>
      <x:c r="C52" s="7" t="str">
        <x:v>Trace/polygon broadside overlap on adjacent layers</x:v>
      </x:c>
      <x:c r="D52" s="7" t="str">
        <x:v>Capacitance</x:v>
      </x:c>
      <x:c r="E52" s="7" t="str">
        <x:v>C[pF]=0.008854·εr·A_mm²/d_mm; use as upper bound</x:v>
      </x:c>
      <x:c r="F52" s="7" t="str">
        <x:v>Fringing and soldermask affect result</x:v>
      </x:c>
      <x:c r="G52" s="7" t="str">
        <x:v>Parallel-plate formula</x:v>
      </x:c>
      <x:c r="H52" s="7" t="str">
        <x:v>overlap area, dielectric thickness, εr</x:v>
      </x:c>
      <x:c r="I52" s="7" t="str">
        <x:v>Layer-to-layer coupling, SW-to-GND capacitance</x:v>
      </x:c>
      <x:c r="J52" s="7" t="str">
        <x:v>Ccpl</x:v>
      </x:c>
      <x:c r="K52" s="7" t="str">
        <x:v>High</x:v>
      </x:c>
      <x:c r="L52" s="7" t="str">
        <x:v>S003, S025</x:v>
      </x:c>
      <x:c r="M52" s="7" t="str">
        <x:v>https://www.we-online.com/files/pdf1/emc-design-tips-2025_en.pdf ; https://chemandy.com/calculators/rectangular-capacitor-calculator.htm</x:v>
      </x:c>
    </x:row>
    <x:row r="53">
      <x:c r="A53" s="7" t="str">
        <x:v>R051</x:v>
      </x:c>
      <x:c r="B53" s="7" t="str">
        <x:v>Coupling</x:v>
      </x:c>
      <x:c r="C53" s="7" t="str">
        <x:v>Digital line near analog high impedance node</x:v>
      </x:c>
      <x:c r="D53" s="7" t="str">
        <x:v>Injected current</x:v>
      </x:c>
      <x:c r="E53" s="7" t="str">
        <x:v>I=Ccouple·dv/dt; even 0.1pF can matter with ns edges</x:v>
      </x:c>
      <x:c r="F53" s="7" t="str">
        <x:v>High impedance converts small current to voltage</x:v>
      </x:c>
      <x:c r="G53" s="7" t="str">
        <x:v>V≈I·Zvictim</x:v>
      </x:c>
      <x:c r="H53" s="7" t="str">
        <x:v>dv/dt, Ccpl, victim impedance</x:v>
      </x:c>
      <x:c r="I53" s="7" t="str">
        <x:v>ADC, sensor, feedback nodes</x:v>
      </x:c>
      <x:c r="J53" s="7" t="str">
        <x:v>Current source or coupling capacitor</x:v>
      </x:c>
      <x:c r="K53" s="7" t="str">
        <x:v>Medium</x:v>
      </x:c>
      <x:c r="L53" s="7" t="str">
        <x:v>S003, S030</x:v>
      </x:c>
      <x:c r="M53" s="7" t="str">
        <x:v>https://www.we-online.com/files/pdf1/emc-design-tips-2025_en.pdf ; https://www.analog.com/media/en/technical-documentation/application-notes/AN-202.pdf</x:v>
      </x:c>
    </x:row>
    <x:row r="54">
      <x:c r="A54" s="7" t="str">
        <x:v>R052</x:v>
      </x:c>
      <x:c r="B54" s="7" t="str">
        <x:v>Coupling</x:v>
      </x:c>
      <x:c r="C54" s="7" t="str">
        <x:v>Power return shared by signal return</x:v>
      </x:c>
      <x:c r="D54" s="7" t="str">
        <x:v>Common impedance</x:v>
      </x:c>
      <x:c r="E54" s="7" t="str">
        <x:v>Vnoise=Inoise·Zcommon</x:v>
      </x:c>
      <x:c r="F54" s="7" t="str">
        <x:v>Even mΩ/nH matter at high di/dt</x:v>
      </x:c>
      <x:c r="G54" s="7" t="str">
        <x:v>Z=R+jωL; V=I·Z</x:v>
      </x:c>
      <x:c r="H54" s="7" t="str">
        <x:v>shared path R/L, noise current</x:v>
      </x:c>
      <x:c r="I54" s="7" t="str">
        <x:v>Ground bounce/common impedance checks</x:v>
      </x:c>
      <x:c r="J54" s="7" t="str">
        <x:v>Series Z in common return</x:v>
      </x:c>
      <x:c r="K54" s="7" t="str">
        <x:v>High</x:v>
      </x:c>
      <x:c r="L54" s="7" t="str">
        <x:v>S030, S001</x:v>
      </x:c>
      <x:c r="M54" s="7" t="str">
        <x:v>https://www.analog.com/media/en/technical-documentation/application-notes/AN-202.pdf ; https://www.ti.com/lit/pdf/szza009</x:v>
      </x:c>
    </x:row>
    <x:row r="55">
      <x:c r="A55" s="7" t="str">
        <x:v>R053</x:v>
      </x:c>
      <x:c r="B55" s="7" t="str">
        <x:v>Manufacturing</x:v>
      </x:c>
      <x:c r="C55" s="7" t="str">
        <x:v>Controlled impedance trace</x:v>
      </x:c>
      <x:c r="D55" s="7" t="str">
        <x:v>Tolerance</x:v>
      </x:c>
      <x:c r="E55" s="7" t="str">
        <x:v>Expect ±10% unless fabricator controls tightly; specify stack-up/coupon</x:v>
      </x:c>
      <x:c r="F55" s="7" t="str">
        <x:v>Calculator result is not manufactured result</x:v>
      </x:c>
      <x:c r="G55" s="7" t="str">
        <x:v>Use fab stack-up, TDR coupon, tolerance model</x:v>
      </x:c>
      <x:c r="H55" s="7" t="str">
        <x:v>target Z0, fab process</x:v>
      </x:c>
      <x:c r="I55" s="7" t="str">
        <x:v>Production PCB requirements</x:v>
      </x:c>
      <x:c r="J55" s="7" t="str">
        <x:v>Z0 distribution / Monte Carlo</x:v>
      </x:c>
      <x:c r="K55" s="7" t="str">
        <x:v>Medium</x:v>
      </x:c>
      <x:c r="L55" s="7" t="str">
        <x:v>S006, S024</x:v>
      </x:c>
      <x:c r="M55" s="7" t="str">
        <x:v>https://www.protoexpress.com/tools/pcb-impedance-calculator/ ; https://cecas.clemson.edu/cvel/emc/calculators/PCB-TL_Calculator/embedded.html</x:v>
      </x:c>
    </x:row>
    <x:row r="56">
      <x:c r="A56" s="7" t="str">
        <x:v>R054</x:v>
      </x:c>
      <x:c r="B56" s="7" t="str">
        <x:v>Manufacturing</x:v>
      </x:c>
      <x:c r="C56" s="7" t="str">
        <x:v>Copper thickness after plating</x:v>
      </x:c>
      <x:c r="D56" s="7" t="str">
        <x:v>Resistance/inductance/capacitance impact</x:v>
      </x:c>
      <x:c r="E56" s="7" t="str">
        <x:v>Use finished copper thickness, not nominal foil only</x:v>
      </x:c>
      <x:c r="F56" s="7" t="str">
        <x:v>Outer layers plated; etch tolerance changes width</x:v>
      </x:c>
      <x:c r="G56" s="7" t="str">
        <x:v>Ask fabricator for finished trace width/thickness</x:v>
      </x:c>
      <x:c r="H56" s="7" t="str">
        <x:v>copper weight, plating, etch factor</x:v>
      </x:c>
      <x:c r="I56" s="7" t="str">
        <x:v>Rdc and impedance estimates</x:v>
      </x:c>
      <x:c r="J56" s="7" t="str">
        <x:v>Parametric sweep</x:v>
      </x:c>
      <x:c r="K56" s="7" t="str">
        <x:v>Medium</x:v>
      </x:c>
      <x:c r="L56" s="7" t="str">
        <x:v>S004, S006</x:v>
      </x:c>
      <x:c r="M56" s="7" t="str">
        <x:v>https://saturnpcb.com/saturn-pcb-toolkit/ ; https://www.protoexpress.com/tools/pcb-impedance-calculator/</x:v>
      </x:c>
    </x:row>
    <x:row r="57">
      <x:c r="A57" s="7" t="str">
        <x:v>R055</x:v>
      </x:c>
      <x:c r="B57" s="7" t="str">
        <x:v>Manufacturing</x:v>
      </x:c>
      <x:c r="C57" s="7" t="str">
        <x:v>Soldermask over microstrip</x:v>
      </x:c>
      <x:c r="D57" s="7" t="str">
        <x:v>Impedance/capacitance shift</x:v>
      </x:c>
      <x:c r="E57" s="7" t="str">
        <x:v>Can lower impedance a few percent by increasing effective ε</x:v>
      </x:c>
      <x:c r="F57" s="7" t="str">
        <x:v>Depends on mask thickness and coverage</x:v>
      </x:c>
      <x:c r="G57" s="7" t="str">
        <x:v>Use coated microstrip calculator or fab data</x:v>
      </x:c>
      <x:c r="H57" s="7" t="str">
        <x:v>mask thickness, εr mask</x:v>
      </x:c>
      <x:c r="I57" s="7" t="str">
        <x:v>Outer-layer controlled impedance</x:v>
      </x:c>
      <x:c r="J57" s="7" t="str">
        <x:v>Adjusted εeff/Z0</x:v>
      </x:c>
      <x:c r="K57" s="7" t="str">
        <x:v>Low</x:v>
      </x:c>
      <x:c r="L57" s="7" t="str">
        <x:v>S006, S004</x:v>
      </x:c>
      <x:c r="M57" s="7" t="str">
        <x:v>https://www.protoexpress.com/tools/pcb-impedance-calculator/ ; https://saturnpcb.com/saturn-pcb-toolkit/</x:v>
      </x:c>
    </x:row>
    <x:row r="58">
      <x:c r="A58" s="7" t="str">
        <x:v>R056</x:v>
      </x:c>
      <x:c r="B58" s="7" t="str">
        <x:v>Manufacturing</x:v>
      </x:c>
      <x:c r="C58" s="7" t="str">
        <x:v>Thermal relief on power components</x:v>
      </x:c>
      <x:c r="D58" s="7" t="str">
        <x:v>Series impedance</x:v>
      </x:c>
      <x:c r="E58" s="7" t="str">
        <x:v>Avoid thermal relief on high-current/HF decoupling paths where assembly allows</x:v>
      </x:c>
      <x:c r="F58" s="7" t="str">
        <x:v>Thermal spokes add R and L</x:v>
      </x:c>
      <x:c r="G58" s="7" t="str">
        <x:v>Model each spoke as narrow trace segments</x:v>
      </x:c>
      <x:c r="H58" s="7" t="str">
        <x:v>spoke count/width/length</x:v>
      </x:c>
      <x:c r="I58" s="7" t="str">
        <x:v>DC/DC caps, MOSFETs, current path</x:v>
      </x:c>
      <x:c r="J58" s="7" t="str">
        <x:v>Extra R/L series</x:v>
      </x:c>
      <x:c r="K58" s="7" t="str">
        <x:v>High</x:v>
      </x:c>
      <x:c r="L58" s="7" t="str">
        <x:v>S009</x:v>
      </x:c>
      <x:c r="M58" s="7" t="str">
        <x:v>https://www.analog.com/en/resources/app-notes/an-136.html</x:v>
      </x:c>
    </x:row>
    <x:row r="59">
      <x:c r="A59" s="7" t="str">
        <x:v>R057</x:v>
      </x:c>
      <x:c r="B59" s="7" t="str">
        <x:v>Manufacturing</x:v>
      </x:c>
      <x:c r="C59" s="7" t="str">
        <x:v>Via in pad / filled via for decoupling or BGA</x:v>
      </x:c>
      <x:c r="D59" s="7" t="str">
        <x:v>Inductance reduction</x:v>
      </x:c>
      <x:c r="E59" s="7" t="str">
        <x:v>Can reduce escape inductance and loop area</x:v>
      </x:c>
      <x:c r="F59" s="7" t="str">
        <x:v>Cost/process impact; fab DFM required</x:v>
      </x:c>
      <x:c r="G59" s="7" t="str">
        <x:v>Compare shorter path and via count</x:v>
      </x:c>
      <x:c r="H59" s="7" t="str">
        <x:v>package, fab capability</x:v>
      </x:c>
      <x:c r="I59" s="7" t="str">
        <x:v>BGA and low-ESL decoupling</x:v>
      </x:c>
      <x:c r="J59" s="7" t="str">
        <x:v>Reduced L via network</x:v>
      </x:c>
      <x:c r="K59" s="7" t="str">
        <x:v>Medium</x:v>
      </x:c>
      <x:c r="L59" s="7" t="str">
        <x:v>S014, S008</x:v>
      </x:c>
      <x:c r="M59" s="7" t="str">
        <x:v>https://www.ti.com/lit/pdf/sprabv2 ; https://www.ti.com/content/dam/videos/external-videos/de-de/9/3816841626001/6313253251112.mp4/subassets/notes-decoupling_capacitors.pdf</x:v>
      </x:c>
    </x:row>
    <x:row r="60">
      <x:c r="A60" s="7" t="str">
        <x:v>R058</x:v>
      </x:c>
      <x:c r="B60" s="7" t="str">
        <x:v>Stack-up</x:v>
      </x:c>
      <x:c r="C60" s="7" t="str">
        <x:v>Adjacent signal-reference plane</x:v>
      </x:c>
      <x:c r="D60" s="7" t="str">
        <x:v>Return inductance</x:v>
      </x:c>
      <x:c r="E60" s="7" t="str">
        <x:v>Prefer signal next to solid GND plane for EMC/SI</x:v>
      </x:c>
      <x:c r="F60" s="7" t="str">
        <x:v>Power plane can be return only if well-decoupled to GND at relevant frequency</x:v>
      </x:c>
      <x:c r="G60" s="7" t="str">
        <x:v>Use TL calculator; avoid split returns</x:v>
      </x:c>
      <x:c r="H60" s="7" t="str">
        <x:v>layer spacing, reference continuity</x:v>
      </x:c>
      <x:c r="I60" s="7" t="str">
        <x:v>Stack-up selection</x:v>
      </x:c>
      <x:c r="J60" s="7" t="str">
        <x:v>Lower L' TL model</x:v>
      </x:c>
      <x:c r="K60" s="7" t="str">
        <x:v>High</x:v>
      </x:c>
      <x:c r="L60" s="7" t="str">
        <x:v>S001, S007</x:v>
      </x:c>
      <x:c r="M60" s="7" t="str">
        <x:v>https://www.ti.com/lit/pdf/szza009 ; https://www.ti.com/lit/ml/slyp173/slyp173.pdf</x:v>
      </x:c>
    </x:row>
    <x:row r="61">
      <x:c r="A61" s="7" t="str">
        <x:v>R059</x:v>
      </x:c>
      <x:c r="B61" s="7" t="str">
        <x:v>Stack-up</x:v>
      </x:c>
      <x:c r="C61" s="7" t="str">
        <x:v>Power/GND plane pair close together</x:v>
      </x:c>
      <x:c r="D61" s="7" t="str">
        <x:v>PDN capacitance and low spreading inductance</x:v>
      </x:c>
      <x:c r="E61" s="7" t="str">
        <x:v>Use thin dielectric 50–150µm where possible for HF benefit</x:v>
      </x:c>
      <x:c r="F61" s="7" t="str">
        <x:v>Capacitance still small vs MLCCs; inductance benefit is key</x:v>
      </x:c>
      <x:c r="G61" s="7" t="str">
        <x:v>C=εA/d, L=nH/sq approx</x:v>
      </x:c>
      <x:c r="H61" s="7" t="str">
        <x:v>plane area, spacing, εr</x:v>
      </x:c>
      <x:c r="I61" s="7" t="str">
        <x:v>4+ layer PDN design</x:v>
      </x:c>
      <x:c r="J61" s="7" t="str">
        <x:v>Plane C + spreading L</x:v>
      </x:c>
      <x:c r="K61" s="7" t="str">
        <x:v>High</x:v>
      </x:c>
      <x:c r="L61" s="7" t="str">
        <x:v>S003, S008</x:v>
      </x:c>
      <x:c r="M61" s="7" t="str">
        <x:v>https://www.we-online.com/files/pdf1/emc-design-tips-2025_en.pdf ; https://www.ti.com/content/dam/videos/external-videos/de-de/9/3816841626001/6313253251112.mp4/subassets/notes-decoupling_capacitors.pdf</x:v>
      </x:c>
    </x:row>
    <x:row r="62">
      <x:c r="A62" s="7" t="str">
        <x:v>R060</x:v>
      </x:c>
      <x:c r="B62" s="7" t="str">
        <x:v>Stack-up</x:v>
      </x:c>
      <x:c r="C62" s="7" t="str">
        <x:v>Signal routed between planes stripline</x:v>
      </x:c>
      <x:c r="D62" s="7" t="str">
        <x:v>Radiation reduction</x:v>
      </x:c>
      <x:c r="E62" s="7" t="str">
        <x:v>Better shielding than microstrip; slower propagation and higher capacitance</x:v>
      </x:c>
      <x:c r="F62" s="7" t="str">
        <x:v>Via transitions add discontinuities</x:v>
      </x:c>
      <x:c r="G62" s="7" t="str">
        <x:v>Use stripline calculator</x:v>
      </x:c>
      <x:c r="H62" s="7" t="str">
        <x:v>trace geometry, εr</x:v>
      </x:c>
      <x:c r="I62" s="7" t="str">
        <x:v>Noisy clocks/fast digital lines</x:v>
      </x:c>
      <x:c r="J62" s="7" t="str">
        <x:v>TLINE stripline model</x:v>
      </x:c>
      <x:c r="K62" s="7" t="str">
        <x:v>High</x:v>
      </x:c>
      <x:c r="L62" s="7" t="str">
        <x:v>S006, S007</x:v>
      </x:c>
      <x:c r="M62" s="7" t="str">
        <x:v>https://www.protoexpress.com/tools/pcb-impedance-calculator/ ; https://www.ti.com/lit/ml/slyp173/slyp173.pdf</x:v>
      </x:c>
    </x:row>
    <x:row r="63">
      <x:c r="A63" s="7" t="str">
        <x:v>R061</x:v>
      </x:c>
      <x:c r="B63" s="7" t="str">
        <x:v>Schematic rule</x:v>
      </x:c>
      <x:c r="C63" s="7" t="str">
        <x:v>Any capacitor intended for HF filtering</x:v>
      </x:c>
      <x:c r="D63" s="7" t="str">
        <x:v>Do not model as ideal C</x:v>
      </x:c>
      <x:c r="E63" s="7" t="str">
        <x:v>Always include ESR, ESL, and layout L for &gt;1 MHz EMI work</x:v>
      </x:c>
      <x:c r="F63" s="7" t="str">
        <x:v>Ideal C can hide resonance/anti-resonance</x:v>
      </x:c>
      <x:c r="G63" s="7" t="str">
        <x:v>Series R-L-C; fit from impedance curve</x:v>
      </x:c>
      <x:c r="H63" s="7" t="str">
        <x:v>C, ESR, ESL, mounting geometry</x:v>
      </x:c>
      <x:c r="I63" s="7" t="str">
        <x:v>Conducted EMI filter or decoupling simulation</x:v>
      </x:c>
      <x:c r="J63" s="7" t="str">
        <x:v>Rser+Lser+C</x:v>
      </x:c>
      <x:c r="K63" s="7" t="str">
        <x:v>High</x:v>
      </x:c>
      <x:c r="L63" s="7" t="str">
        <x:v>S002, S017, S013</x:v>
      </x:c>
      <x:c r="M63" s="7" t="str">
        <x:v>https://www.analog.com/en/resources/technical-articles/how-to-get-the-best-results-using-ltspice-part-1.html ; https://www.rohde-schwarz.com/nl/applications/conducted-emissions-in-dc-dc-converters-simulation-versus-measurement_56279-1125376.html ; https://www.analog.com/media/en/training-seminars/tutorials/MT-101.pdf</x:v>
      </x:c>
    </x:row>
    <x:row r="64">
      <x:c r="A64" s="7" t="str">
        <x:v>R062</x:v>
      </x:c>
      <x:c r="B64" s="7" t="str">
        <x:v>Schematic rule</x:v>
      </x:c>
      <x:c r="C64" s="7" t="str">
        <x:v>Ferrite bead</x:v>
      </x:c>
      <x:c r="D64" s="7" t="str">
        <x:v>Do not model as pure inductance</x:v>
      </x:c>
      <x:c r="E64" s="7" t="str">
        <x:v>Use impedance-vs-frequency or vendor SPICE/S-parameter model</x:v>
      </x:c>
      <x:c r="F64" s="7" t="str">
        <x:v>DC bias and current alter impedance</x:v>
      </x:c>
      <x:c r="G64" s="7" t="str">
        <x:v>Use vendor model, or frequency-dependent R/L ladder</x:v>
      </x:c>
      <x:c r="H64" s="7" t="str">
        <x:v>part number, DC current</x:v>
      </x:c>
      <x:c r="I64" s="7" t="str">
        <x:v>EMI filtering and PDN damping</x:v>
      </x:c>
      <x:c r="J64" s="7" t="str">
        <x:v>Vendor model or RLC ladder</x:v>
      </x:c>
      <x:c r="K64" s="7" t="str">
        <x:v>High</x:v>
      </x:c>
      <x:c r="L64" s="7" t="str">
        <x:v>S002, S020</x:v>
      </x:c>
      <x:c r="M64" s="7" t="str">
        <x:v>https://www.analog.com/en/resources/technical-articles/how-to-get-the-best-results-using-ltspice-part-1.html ; https://www.coilcraft.com/en-us/resources/application-notes/fundamentals-of-electromagnetic-compliance/</x:v>
      </x:c>
    </x:row>
    <x:row r="65">
      <x:c r="A65" s="7" t="str">
        <x:v>R063</x:v>
      </x:c>
      <x:c r="B65" s="7" t="str">
        <x:v>Schematic rule</x:v>
      </x:c>
      <x:c r="C65" s="7" t="str">
        <x:v>Inductor in EMI filter</x:v>
      </x:c>
      <x:c r="D65" s="7" t="str">
        <x:v>High-frequency non-ideal behavior</x:v>
      </x:c>
      <x:c r="E65" s="7" t="str">
        <x:v>Include winding capacitance and ESR/DCR</x:v>
      </x:c>
      <x:c r="F65" s="7" t="str">
        <x:v>Above SRF, inductor behaves capacitive</x:v>
      </x:c>
      <x:c r="G65" s="7" t="str">
        <x:v>Use vendor impedance model or add Cp parallel</x:v>
      </x:c>
      <x:c r="H65" s="7" t="str">
        <x:v>L, DCR, Cp, SRF</x:v>
      </x:c>
      <x:c r="I65" s="7" t="str">
        <x:v>EMI filter stability and attenuation</x:v>
      </x:c>
      <x:c r="J65" s="7" t="str">
        <x:v>L+DCR with Cp</x:v>
      </x:c>
      <x:c r="K65" s="7" t="str">
        <x:v>High</x:v>
      </x:c>
      <x:c r="L65" s="7" t="str">
        <x:v>S020, S002</x:v>
      </x:c>
      <x:c r="M65" s="7" t="str">
        <x:v>https://www.coilcraft.com/en-us/resources/application-notes/fundamentals-of-electromagnetic-compliance/ ; https://www.analog.com/en/resources/technical-articles/how-to-get-the-best-results-using-ltspice-part-1.html</x:v>
      </x:c>
    </x:row>
    <x:row r="66">
      <x:c r="A66" s="7" t="str">
        <x:v>R064</x:v>
      </x:c>
      <x:c r="B66" s="7" t="str">
        <x:v>Schematic rule</x:v>
      </x:c>
      <x:c r="C66" s="7" t="str">
        <x:v>Common-mode vs differential-mode conducted EMI</x:v>
      </x:c>
      <x:c r="D66" s="7" t="str">
        <x:v>Separate paths</x:v>
      </x:c>
      <x:c r="E66" s="7" t="str">
        <x:v>Model LISN and split CM/DM currents if possible</x:v>
      </x:c>
      <x:c r="F66" s="7" t="str">
        <x:v>Wrong mode leads to wrong filter choice</x:v>
      </x:c>
      <x:c r="G66" s="7" t="str">
        <x:v>Use probes/current sums/differences</x:v>
      </x:c>
      <x:c r="H66" s="7" t="str">
        <x:v>input lines, LISN, return path</x:v>
      </x:c>
      <x:c r="I66" s="7" t="str">
        <x:v>EMI filter design</x:v>
      </x:c>
      <x:c r="J66" s="7" t="str">
        <x:v>CM/DM extraction block</x:v>
      </x:c>
      <x:c r="K66" s="7" t="str">
        <x:v>High</x:v>
      </x:c>
      <x:c r="L66" s="7" t="str">
        <x:v>S002, S017</x:v>
      </x:c>
      <x:c r="M66" s="7" t="str">
        <x:v>https://www.analog.com/en/resources/technical-articles/how-to-get-the-best-results-using-ltspice-part-1.html ; https://www.rohde-schwarz.com/nl/applications/conducted-emissions-in-dc-dc-converters-simulation-versus-measurement_56279-1125376.html</x:v>
      </x:c>
    </x:row>
    <x:row r="67">
      <x:c r="A67" s="7" t="str">
        <x:v>R065</x:v>
      </x:c>
      <x:c r="B67" s="7" t="str">
        <x:v>Measurement fit</x:v>
      </x:c>
      <x:c r="C67" s="7" t="str">
        <x:v>Ringing node with known frequency</x:v>
      </x:c>
      <x:c r="D67" s="7" t="str">
        <x:v>Estimate parasitic LC</x:v>
      </x:c>
      <x:c r="E67" s="7" t="str">
        <x:v>f=5033/sqrt(L_nH·C_pF) MHz</x:v>
      </x:c>
      <x:c r="F67" s="7" t="str">
        <x:v>Need one of L or C or use two-cap method</x:v>
      </x:c>
      <x:c r="G67" s="7" t="str">
        <x:v>Use added cap to solve original C and L</x:v>
      </x:c>
      <x:c r="H67" s="7" t="str">
        <x:v>ringing frequency, added capacitance</x:v>
      </x:c>
      <x:c r="I67" s="7" t="str">
        <x:v>Switch-node/gate ringing parasitic extraction</x:v>
      </x:c>
      <x:c r="J67" s="7" t="str">
        <x:v>Fit L/C in LTspice</x:v>
      </x:c>
      <x:c r="K67" s="7" t="str">
        <x:v>Medium</x:v>
      </x:c>
      <x:c r="L67" s="7" t="str">
        <x:v>S021</x:v>
      </x:c>
      <x:c r="M67" s="7" t="str">
        <x:v>https://www.analog.com/en/resources/technical-articles/the-unseen-ring.html</x:v>
      </x:c>
    </x:row>
    <x:row r="68">
      <x:c r="A68" s="7" t="str">
        <x:v>R066</x:v>
      </x:c>
      <x:c r="B68" s="7" t="str">
        <x:v>Measurement fit</x:v>
      </x:c>
      <x:c r="C68" s="7" t="str">
        <x:v>Observed overshoot/ringing damping</x:v>
      </x:c>
      <x:c r="D68" s="7" t="str">
        <x:v>Estimate ESR/snubber need</x:v>
      </x:c>
      <x:c r="E68" s="7" t="str">
        <x:v>Q and damping from waveform envelope; choose snubber to lower Q</x:v>
      </x:c>
      <x:c r="F68" s="7" t="str">
        <x:v>Measurement probe inductance can distort result</x:v>
      </x:c>
      <x:c r="G68" s="7" t="str">
        <x:v>Fit time-domain model with parasitics</x:v>
      </x:c>
      <x:c r="H68" s="7" t="str">
        <x:v>ring frequency, decay, probe setup</x:v>
      </x:c>
      <x:c r="I68" s="7" t="str">
        <x:v>Snubber design and validation</x:v>
      </x:c>
      <x:c r="J68" s="7" t="str">
        <x:v>R-C snubber + parasitic L/C</x:v>
      </x:c>
      <x:c r="K68" s="7" t="str">
        <x:v>Medium</x:v>
      </x:c>
      <x:c r="L68" s="7" t="str">
        <x:v>S021, S017</x:v>
      </x:c>
      <x:c r="M68" s="7" t="str">
        <x:v>https://www.analog.com/en/resources/technical-articles/the-unseen-ring.html ; https://www.rohde-schwarz.com/nl/applications/conducted-emissions-in-dc-dc-converters-simulation-versus-measurement_56279-1125376.html</x:v>
      </x:c>
    </x:row>
    <x:row r="69">
      <x:c r="A69" s="7" t="str">
        <x:v>R067</x:v>
      </x:c>
      <x:c r="B69" s="7" t="str">
        <x:v>Layout extraction</x:v>
      </x:c>
      <x:c r="C69" s="7" t="str">
        <x:v>Kicad/Altium geometry known but no solver</x:v>
      </x:c>
      <x:c r="D69" s="7" t="str">
        <x:v>First-pass discretization</x:v>
      </x:c>
      <x:c r="E69" s="7" t="str">
        <x:v>Break long traces into 5–20mm sections for EMI band; use TL for fast nets</x:v>
      </x:c>
      <x:c r="F69" s="7" t="str">
        <x:v>Too coarse hides resonances; too fine burdens SPICE</x:v>
      </x:c>
      <x:c r="G69" s="7" t="str">
        <x:v>Segment L/R/C per length</x:v>
      </x:c>
      <x:c r="H69" s="7" t="str">
        <x:v>geometry, stack-up</x:v>
      </x:c>
      <x:c r="I69" s="7" t="str">
        <x:v>Netlist injection into LTspice</x:v>
      </x:c>
      <x:c r="J69" s="7" t="str">
        <x:v>Ladder of R/L/C sections</x:v>
      </x:c>
      <x:c r="K69" s="7" t="str">
        <x:v>Medium</x:v>
      </x:c>
      <x:c r="L69" s="7" t="str">
        <x:v>S002, S011</x:v>
      </x:c>
      <x:c r="M69" s="7" t="str">
        <x:v>https://www.analog.com/en/resources/technical-articles/how-to-get-the-best-results-using-ltspice-part-1.html ; https://www.ti.com/lit/pdf/snla035</x:v>
      </x:c>
    </x:row>
    <x:row r="70">
      <x:c r="A70" s="7" t="str">
        <x:v>R068</x:v>
      </x:c>
      <x:c r="B70" s="7" t="str">
        <x:v>Layout extraction</x:v>
      </x:c>
      <x:c r="C70" s="7" t="str">
        <x:v>Large polygon carrying DC and HF current</x:v>
      </x:c>
      <x:c r="D70" s="7" t="str">
        <x:v>Sheet-resistance model</x:v>
      </x:c>
      <x:c r="E70" s="7" t="str">
        <x:v>R=Rsq·number_of_squares; split current paths where needed</x:v>
      </x:c>
      <x:c r="F70" s="7" t="str">
        <x:v>Polygon shape/current crowding can invalidate single path</x:v>
      </x:c>
      <x:c r="G70" s="7" t="str">
        <x:v>Approximate with rectangles; use PEEC/field solver for critical</x:v>
      </x:c>
      <x:c r="H70" s="7" t="str">
        <x:v>shape dimensions, copper thickness</x:v>
      </x:c>
      <x:c r="I70" s="7" t="str">
        <x:v>Power distribution and damping estimate</x:v>
      </x:c>
      <x:c r="J70" s="7" t="str">
        <x:v>2D resistor mesh simplified</x:v>
      </x:c>
      <x:c r="K70" s="7" t="str">
        <x:v>Medium</x:v>
      </x:c>
      <x:c r="L70" s="7" t="str">
        <x:v>S004, S022</x:v>
      </x:c>
      <x:c r="M70" s="7" t="str">
        <x:v>https://saturnpcb.com/saturn-pcb-toolkit/ ; https://www.ti.com/lit/ml/slyp762/slyp762.pdf</x:v>
      </x:c>
    </x:row>
    <x:row r="71">
      <x:c r="A71" s="7" t="str">
        <x:v>R069</x:v>
      </x:c>
      <x:c r="B71" s="7" t="str">
        <x:v>Layout extraction</x:v>
      </x:c>
      <x:c r="C71" s="7" t="str">
        <x:v>Polygon near board edge/cable connector</x:v>
      </x:c>
      <x:c r="D71" s="7" t="str">
        <x:v>Radiated/CM coupling risk</x:v>
      </x:c>
      <x:c r="E71" s="7" t="str">
        <x:v>Treat as antenna/capacitive plate; keep noisy polygons away from edges/connectors</x:v>
      </x:c>
      <x:c r="F71" s="7" t="str">
        <x:v>Geometry and cable dominates; use measurements later</x:v>
      </x:c>
      <x:c r="G71" s="7" t="str">
        <x:v>Compute C to cable/chassis and loop length fraction of wavelength</x:v>
      </x:c>
      <x:c r="H71" s="7" t="str">
        <x:v>polygon size, edge distance, cable</x:v>
      </x:c>
      <x:c r="I71" s="7" t="str">
        <x:v>Later radiated extension</x:v>
      </x:c>
      <x:c r="J71" s="7" t="str">
        <x:v>Ccpl to cable/chassis</x:v>
      </x:c>
      <x:c r="K71" s="7" t="str">
        <x:v>Low</x:v>
      </x:c>
      <x:c r="L71" s="7" t="str">
        <x:v>S003, S029</x:v>
      </x:c>
      <x:c r="M71" s="7" t="str">
        <x:v>https://www.we-online.com/files/pdf1/emc-design-tips-2025_en.pdf ; https://www.we-online.com/files/pdf1/03.-design-for-emc-2026.pdf</x:v>
      </x:c>
    </x:row>
    <x:row r="72">
      <x:c r="A72" s="7" t="str">
        <x:v>R070</x:v>
      </x:c>
      <x:c r="B72" s="7" t="str">
        <x:v>EMI filter</x:v>
      </x:c>
      <x:c r="C72" s="7" t="str">
        <x:v>Input filter capacitor to GND/chassis</x:v>
      </x:c>
      <x:c r="D72" s="7" t="str">
        <x:v>ESL and return path</x:v>
      </x:c>
      <x:c r="E72" s="7" t="str">
        <x:v>Model capacitor ESL plus path to chassis/return; placement can change attenuation by &gt;10 dB in HF</x:v>
      </x:c>
      <x:c r="F72" s="7" t="str">
        <x:v>Ground connection geometry dominates</x:v>
      </x:c>
      <x:c r="G72" s="7" t="str">
        <x:v>Use measured insertion loss or layout parasitics</x:v>
      </x:c>
      <x:c r="H72" s="7" t="str">
        <x:v>cap package, path length, chassis bond</x:v>
      </x:c>
      <x:c r="I72" s="7" t="str">
        <x:v>Conducted EMI filter simulation</x:v>
      </x:c>
      <x:c r="J72" s="7" t="str">
        <x:v>C+ESL+return L</x:v>
      </x:c>
      <x:c r="K72" s="7" t="str">
        <x:v>Medium</x:v>
      </x:c>
      <x:c r="L72" s="7" t="str">
        <x:v>S017, S003</x:v>
      </x:c>
      <x:c r="M72" s="7" t="str">
        <x:v>https://www.rohde-schwarz.com/nl/applications/conducted-emissions-in-dc-dc-converters-simulation-versus-measurement_56279-1125376.html ; https://www.we-online.com/files/pdf1/emc-design-tips-2025_en.pdf</x:v>
      </x:c>
    </x:row>
    <x:row r="73">
      <x:c r="A73" s="7" t="str">
        <x:v>R071</x:v>
      </x:c>
      <x:c r="B73" s="7" t="str">
        <x:v>EMI filter</x:v>
      </x:c>
      <x:c r="C73" s="7" t="str">
        <x:v>LC input filter</x:v>
      </x:c>
      <x:c r="D73" s="7" t="str">
        <x:v>Parasitic damping</x:v>
      </x:c>
      <x:c r="E73" s="7" t="str">
        <x:v>Include capacitor ESR, inductor DCR, source/load impedance</x:v>
      </x:c>
      <x:c r="F73" s="7" t="str">
        <x:v>Undamped filter can ring and worsen emissions</x:v>
      </x:c>
      <x:c r="G73" s="7" t="str">
        <x:v>Check poles/Q; add damping R/RC if needed</x:v>
      </x:c>
      <x:c r="H73" s="7" t="str">
        <x:v>L,C,ESR,DCR, source/load Z</x:v>
      </x:c>
      <x:c r="I73" s="7" t="str">
        <x:v>DC/DC input filter</x:v>
      </x:c>
      <x:c r="J73" s="7" t="str">
        <x:v>RLC network with parasitics</x:v>
      </x:c>
      <x:c r="K73" s="7" t="str">
        <x:v>High</x:v>
      </x:c>
      <x:c r="L73" s="7" t="str">
        <x:v>S020, S002</x:v>
      </x:c>
      <x:c r="M73" s="7" t="str">
        <x:v>https://www.coilcraft.com/en-us/resources/application-notes/fundamentals-of-electromagnetic-compliance/ ; https://www.analog.com/en/resources/technical-articles/how-to-get-the-best-results-using-ltspice-part-1.html</x:v>
      </x:c>
    </x:row>
    <x:row r="74">
      <x:c r="A74" s="7" t="str">
        <x:v>R072</x:v>
      </x:c>
      <x:c r="B74" s="7" t="str">
        <x:v>EMI filter</x:v>
      </x:c>
      <x:c r="C74" s="7" t="str">
        <x:v>Common-mode choke</x:v>
      </x:c>
      <x:c r="D74" s="7" t="str">
        <x:v>Parasitic interwinding capacitance</x:v>
      </x:c>
      <x:c r="E74" s="7" t="str">
        <x:v>At high frequency CM choke attenuation can collapse through capacitance</x:v>
      </x:c>
      <x:c r="F74" s="7" t="str">
        <x:v>Use vendor impedance/S-parameter; add Cp as fallback</x:v>
      </x:c>
      <x:c r="G74" s="7" t="str">
        <x:v>Cp from datasheet or fit to SRF</x:v>
      </x:c>
      <x:c r="H74" s="7" t="str">
        <x:v>choke model, frequency range</x:v>
      </x:c>
      <x:c r="I74" s="7" t="str">
        <x:v>CM conducted EMI filter</x:v>
      </x:c>
      <x:c r="J74" s="7" t="str">
        <x:v>Coupled L + Rp/Cp</x:v>
      </x:c>
      <x:c r="K74" s="7" t="str">
        <x:v>Medium</x:v>
      </x:c>
      <x:c r="L74" s="7" t="str">
        <x:v>S020, S002</x:v>
      </x:c>
      <x:c r="M74" s="7" t="str">
        <x:v>https://www.coilcraft.com/en-us/resources/application-notes/fundamentals-of-electromagnetic-compliance/ ; https://www.analog.com/en/resources/technical-articles/how-to-get-the-best-results-using-ltspice-part-1.html</x:v>
      </x:c>
    </x:row>
    <x:row r="75">
      <x:c r="A75" s="7" t="str">
        <x:v>R073</x:v>
      </x:c>
      <x:c r="B75" s="7" t="str">
        <x:v>ESD/connector</x:v>
      </x:c>
      <x:c r="C75" s="7" t="str">
        <x:v>TVS path to chassis/GND</x:v>
      </x:c>
      <x:c r="D75" s="7" t="str">
        <x:v>Series inductance</x:v>
      </x:c>
      <x:c r="E75" s="7" t="str">
        <x:v>Keep &lt;few nH; every nH adds V=L·di/dt during ESD</x:v>
      </x:c>
      <x:c r="F75" s="7" t="str">
        <x:v>Even short traces can cause large voltage during fast ESD</x:v>
      </x:c>
      <x:c r="G75" s="7" t="str">
        <x:v>V=L·di/dt; estimate L by length/via</x:v>
      </x:c>
      <x:c r="H75" s="7" t="str">
        <x:v>trace/via path to return</x:v>
      </x:c>
      <x:c r="I75" s="7" t="str">
        <x:v>Connector protection and EMI</x:v>
      </x:c>
      <x:c r="J75" s="7" t="str">
        <x:v>Lser in TVS return</x:v>
      </x:c>
      <x:c r="K75" s="7" t="str">
        <x:v>Medium</x:v>
      </x:c>
      <x:c r="L75" s="7" t="str">
        <x:v>S001, S003</x:v>
      </x:c>
      <x:c r="M75" s="7" t="str">
        <x:v>https://www.ti.com/lit/pdf/szza009 ; https://www.we-online.com/files/pdf1/emc-design-tips-2025_en.pdf</x:v>
      </x:c>
    </x:row>
    <x:row r="76">
      <x:c r="A76" s="7" t="str">
        <x:v>R074</x:v>
      </x:c>
      <x:c r="B76" s="7" t="str">
        <x:v>Chassis/copper</x:v>
      </x:c>
      <x:c r="C76" s="7" t="str">
        <x:v>Mounting hole to chassis stitch</x:v>
      </x:c>
      <x:c r="D76" s="7" t="str">
        <x:v>Inductance</x:v>
      </x:c>
      <x:c r="E76" s="7" t="str">
        <x:v>Use multiple short stitching vias/bonds; avoid long pigtail</x:v>
      </x:c>
      <x:c r="F76" s="7" t="str">
        <x:v>Long bond degrades HF shield connection</x:v>
      </x:c>
      <x:c r="G76" s="7" t="str">
        <x:v>XL=2πfL for proposed L</x:v>
      </x:c>
      <x:c r="H76" s="7" t="str">
        <x:v>bond length, via count</x:v>
      </x:c>
      <x:c r="I76" s="7" t="str">
        <x:v>CM noise and shield termination</x:v>
      </x:c>
      <x:c r="J76" s="7" t="str">
        <x:v>L in chassis bond</x:v>
      </x:c>
      <x:c r="K76" s="7" t="str">
        <x:v>Medium</x:v>
      </x:c>
      <x:c r="L76" s="7" t="str">
        <x:v>S003, S012</x:v>
      </x:c>
      <x:c r="M76" s="7" t="str">
        <x:v>https://www.we-online.com/files/pdf1/emc-design-tips-2025_en.pdf ; https://www.ieee.li/pdf/viewgraphs/emc_inductors_and_filters.pdf</x:v>
      </x:c>
    </x:row>
    <x:row r="77">
      <x:c r="A77" s="7" t="str">
        <x:v>R075</x:v>
      </x:c>
      <x:c r="B77" s="7" t="str">
        <x:v>ADC/analog</x:v>
      </x:c>
      <x:c r="C77" s="7" t="str">
        <x:v>Input RC filter trace and ground</x:v>
      </x:c>
      <x:c r="D77" s="7" t="str">
        <x:v>Parasitic capacitance/leakage</x:v>
      </x:c>
      <x:c r="E77" s="7" t="str">
        <x:v>Model C to nearby digital/SW nodes if high impedance</x:v>
      </x:c>
      <x:c r="F77" s="7" t="str">
        <x:v>pF-level coupling can disturb high-Z nodes</x:v>
      </x:c>
      <x:c r="G77" s="7" t="str">
        <x:v>I=C·dv/dt, V=I·Zinput</x:v>
      </x:c>
      <x:c r="H77" s="7" t="str">
        <x:v>victim impedance, spacing, overlap</x:v>
      </x:c>
      <x:c r="I77" s="7" t="str">
        <x:v>Mixed-signal EMI debug</x:v>
      </x:c>
      <x:c r="J77" s="7" t="str">
        <x:v>Coupling cap/current source</x:v>
      </x:c>
      <x:c r="K77" s="7" t="str">
        <x:v>Medium</x:v>
      </x:c>
      <x:c r="L77" s="7" t="str">
        <x:v>S030, S003</x:v>
      </x:c>
      <x:c r="M77" s="7" t="str">
        <x:v>https://www.analog.com/media/en/technical-documentation/application-notes/AN-202.pdf ; https://www.we-online.com/files/pdf1/emc-design-tips-2025_en.pdf</x:v>
      </x:c>
    </x:row>
    <x:row r="78">
      <x:c r="A78" s="7" t="str">
        <x:v>R076</x:v>
      </x:c>
      <x:c r="B78" s="7" t="str">
        <x:v>Feedback node</x:v>
      </x:c>
      <x:c r="C78" s="7" t="str">
        <x:v>DC/DC feedback divider trace</x:v>
      </x:c>
      <x:c r="D78" s="7" t="str">
        <x:v>Capacitive pickup</x:v>
      </x:c>
      <x:c r="E78" s="7" t="str">
        <x:v>Add 0.1–2 pF coupling if routed near SW node as sensitivity test</x:v>
      </x:c>
      <x:c r="F78" s="7" t="str">
        <x:v>Feedback node high impedance, noise modulates duty cycle</x:v>
      </x:c>
      <x:c r="G78" s="7" t="str">
        <x:v>C=εA/d upper bound; sweep Ccouple</x:v>
      </x:c>
      <x:c r="H78" s="7" t="str">
        <x:v>overlap, spacing, dV/dt</x:v>
      </x:c>
      <x:c r="I78" s="7" t="str">
        <x:v>Switching regulator EMI/stability</x:v>
      </x:c>
      <x:c r="J78" s="7" t="str">
        <x:v>Ccpl SW-to-FB</x:v>
      </x:c>
      <x:c r="K78" s="7" t="str">
        <x:v>Medium</x:v>
      </x:c>
      <x:c r="L78" s="7" t="str">
        <x:v>S009, S003</x:v>
      </x:c>
      <x:c r="M78" s="7" t="str">
        <x:v>https://www.analog.com/en/resources/app-notes/an-136.html ; https://www.we-online.com/files/pdf1/emc-design-tips-2025_en.pdf</x:v>
      </x:c>
    </x:row>
    <x:row r="79">
      <x:c r="A79" s="7" t="str">
        <x:v>R077</x:v>
      </x:c>
      <x:c r="B79" s="7" t="str">
        <x:v>Relay/motor</x:v>
      </x:c>
      <x:c r="C79" s="7" t="str">
        <x:v>Inductive load trace loop</x:v>
      </x:c>
      <x:c r="D79" s="7" t="str">
        <x:v>Loop inductance and radiation</x:v>
      </x:c>
      <x:c r="E79" s="7" t="str">
        <x:v>Route supply/return together; estimate loop L from geometry</x:v>
      </x:c>
      <x:c r="F79" s="7" t="str">
        <x:v>Large loop radiates and picks up; cable adds L</x:v>
      </x:c>
      <x:c r="G79" s="7" t="str">
        <x:v>Use loop inductance/cable per length</x:v>
      </x:c>
      <x:c r="H79" s="7" t="str">
        <x:v>loop area, cable length</x:v>
      </x:c>
      <x:c r="I79" s="7" t="str">
        <x:v>Motor/relay driver conducted/radiated model</x:v>
      </x:c>
      <x:c r="J79" s="7" t="str">
        <x:v>Lloop + mutual coupling</x:v>
      </x:c>
      <x:c r="K79" s="7" t="str">
        <x:v>Medium</x:v>
      </x:c>
      <x:c r="L79" s="7" t="str">
        <x:v>S003, S012</x:v>
      </x:c>
      <x:c r="M79" s="7" t="str">
        <x:v>https://www.we-online.com/files/pdf1/emc-design-tips-2025_en.pdf ; https://www.ieee.li/pdf/viewgraphs/emc_inductors_and_filters.pdf</x:v>
      </x:c>
    </x:row>
    <x:row r="80">
      <x:c r="A80" s="7" t="str">
        <x:v>R078</x:v>
      </x:c>
      <x:c r="B80" s="7" t="str">
        <x:v>Connector</x:v>
      </x:c>
      <x:c r="C80" s="7" t="str">
        <x:v>Pin field / header adjacent pins</x:v>
      </x:c>
      <x:c r="D80" s="7" t="str">
        <x:v>Pin-to-pin capacitance</x:v>
      </x:c>
      <x:c r="E80" s="7" t="str">
        <x:v>Use 0.1–1 pF as rough coupling sensitivity if no data</x:v>
      </x:c>
      <x:c r="F80" s="7" t="str">
        <x:v>Depends on connector geometry, plastic, shields</x:v>
      </x:c>
      <x:c r="G80" s="7" t="str">
        <x:v>Use datasheet/S-parameters where possible</x:v>
      </x:c>
      <x:c r="H80" s="7" t="str">
        <x:v>pin length/spacing, dielectric</x:v>
      </x:c>
      <x:c r="I80" s="7" t="str">
        <x:v>Fast connector crosstalk/EMI</x:v>
      </x:c>
      <x:c r="J80" s="7" t="str">
        <x:v>Ccpl between pins</x:v>
      </x:c>
      <x:c r="K80" s="7" t="str">
        <x:v>Low</x:v>
      </x:c>
      <x:c r="L80" s="7" t="str">
        <x:v>S018, S019</x:v>
      </x:c>
      <x:c r="M80" s="7" t="str">
        <x:v>https://www.ti.com/lit/pdf/snla043 ; https://www.ti.com/lit/pdf/snla028</x:v>
      </x:c>
    </x:row>
    <x:row r="81">
      <x:c r="A81" s="7" t="str">
        <x:v>R079</x:v>
      </x:c>
      <x:c r="B81" s="7" t="str">
        <x:v>Ground stitching</x:v>
      </x:c>
      <x:c r="C81" s="7" t="str">
        <x:v>Stitching via near layer transition</x:v>
      </x:c>
      <x:c r="D81" s="7" t="str">
        <x:v>Return path control</x:v>
      </x:c>
      <x:c r="E81" s="7" t="str">
        <x:v>Place within a few mm of signal via for fast edges; model added return via L if far</x:v>
      </x:c>
      <x:c r="F81" s="7" t="str">
        <x:v>Without return via, return current detours</x:v>
      </x:c>
      <x:c r="G81" s="7" t="str">
        <x:v>Estimate loop from signal via to return via distance</x:v>
      </x:c>
      <x:c r="H81" s="7" t="str">
        <x:v>via spacing, layer pair</x:v>
      </x:c>
      <x:c r="I81" s="7" t="str">
        <x:v>Fast net layer transitions</x:v>
      </x:c>
      <x:c r="J81" s="7" t="str">
        <x:v>Loop L + via L</x:v>
      </x:c>
      <x:c r="K81" s="7" t="str">
        <x:v>High</x:v>
      </x:c>
      <x:c r="L81" s="7" t="str">
        <x:v>S001, S008</x:v>
      </x:c>
      <x:c r="M81" s="7" t="str">
        <x:v>https://www.ti.com/lit/pdf/szza009 ; https://www.ti.com/content/dam/videos/external-videos/de-de/9/3816841626001/6313253251112.mp4/subassets/notes-decoupling_capacitors.pdf</x:v>
      </x:c>
    </x:row>
    <x:row r="82">
      <x:c r="A82" s="7" t="str">
        <x:v>R080</x:v>
      </x:c>
      <x:c r="B82" s="7" t="str">
        <x:v>Ground stitching</x:v>
      </x:c>
      <x:c r="C82" s="7" t="str">
        <x:v>Via fence along board edge/shield</x:v>
      </x:c>
      <x:c r="D82" s="7" t="str">
        <x:v>Stitch spacing</x:v>
      </x:c>
      <x:c r="E82" s="7" t="str">
        <x:v>For RF shielding use spacing &lt;&lt; λ/10 in dielectric; for EMC, denser near noisy edges/connectors</x:v>
      </x:c>
      <x:c r="F82" s="7" t="str">
        <x:v>Not a substitute for solid plane</x:v>
      </x:c>
      <x:c r="G82" s="7" t="str">
        <x:v>spacing relative to highest relevant frequency</x:v>
      </x:c>
      <x:c r="H82" s="7" t="str">
        <x:v>frequency, εeff, edge length</x:v>
      </x:c>
      <x:c r="I82" s="7" t="str">
        <x:v>Radiated/CM containment extension</x:v>
      </x:c>
      <x:c r="J82" s="7" t="str">
        <x:v>Periodic ground bonds</x:v>
      </x:c>
      <x:c r="K82" s="7" t="str">
        <x:v>Medium</x:v>
      </x:c>
      <x:c r="L82" s="7" t="str">
        <x:v>S003, S029</x:v>
      </x:c>
      <x:c r="M82" s="7" t="str">
        <x:v>https://www.we-online.com/files/pdf1/emc-design-tips-2025_en.pdf ; https://www.we-online.com/files/pdf1/03.-design-for-emc-2026.pdf</x:v>
      </x:c>
    </x:row>
    <x:row r="83">
      <x:c r="A83" s="7" t="str">
        <x:v>R081</x:v>
      </x:c>
      <x:c r="B83" s="7" t="str">
        <x:v>Thermal/electrical</x:v>
      </x:c>
      <x:c r="C83" s="7" t="str">
        <x:v>Copper pour with neck-down</x:v>
      </x:c>
      <x:c r="D83" s="7" t="str">
        <x:v>Local impedance</x:v>
      </x:c>
      <x:c r="E83" s="7" t="str">
        <x:v>Neck dominates R/L; model narrowest section, not whole pour</x:v>
      </x:c>
      <x:c r="F83" s="7" t="str">
        <x:v>Useful for fuses/sense but bad for HF current</x:v>
      </x:c>
      <x:c r="G83" s="7" t="str">
        <x:v>R=Rsq·squares; L from trace width/length</x:v>
      </x:c>
      <x:c r="H83" s="7" t="str">
        <x:v>neck length/width</x:v>
      </x:c>
      <x:c r="I83" s="7" t="str">
        <x:v>Power polygon review</x:v>
      </x:c>
      <x:c r="J83" s="7" t="str">
        <x:v>R/L segment in path</x:v>
      </x:c>
      <x:c r="K83" s="7" t="str">
        <x:v>High</x:v>
      </x:c>
      <x:c r="L83" s="7" t="str">
        <x:v>S004, S022</x:v>
      </x:c>
      <x:c r="M83" s="7" t="str">
        <x:v>https://saturnpcb.com/saturn-pcb-toolkit/ ; https://www.ti.com/lit/ml/slyp762/slyp762.pdf</x:v>
      </x:c>
    </x:row>
    <x:row r="84">
      <x:c r="A84" s="7" t="str">
        <x:v>R082</x:v>
      </x:c>
      <x:c r="B84" s="7" t="str">
        <x:v>Stack-up</x:v>
      </x:c>
      <x:c r="C84" s="7" t="str">
        <x:v>Reference plane change GND↔PWR</x:v>
      </x:c>
      <x:c r="D84" s="7" t="str">
        <x:v>Return displacement current</x:v>
      </x:c>
      <x:c r="E84" s="7" t="str">
        <x:v>Ensure local decoupling capacitor close to transition; model cap ESL</x:v>
      </x:c>
      <x:c r="F84" s="7" t="str">
        <x:v>Return jumps through decap impedance at high frequency</x:v>
      </x:c>
      <x:c r="G84" s="7" t="str">
        <x:v>Use decap RLC between planes at transition</x:v>
      </x:c>
      <x:c r="H84" s="7" t="str">
        <x:v>transition location, decap path</x:v>
      </x:c>
      <x:c r="I84" s="7" t="str">
        <x:v>High-speed layer changes</x:v>
      </x:c>
      <x:c r="J84" s="7" t="str">
        <x:v>Inter-plane capacitance + decap impedance</x:v>
      </x:c>
      <x:c r="K84" s="7" t="str">
        <x:v>Medium</x:v>
      </x:c>
      <x:c r="L84" s="7" t="str">
        <x:v>S001, S008</x:v>
      </x:c>
      <x:c r="M84" s="7" t="str">
        <x:v>https://www.ti.com/lit/pdf/szza009 ; https://www.ti.com/content/dam/videos/external-videos/de-de/9/3816841626001/6313253251112.mp4/subassets/notes-decoupling_capacitors.pdf</x:v>
      </x:c>
    </x:row>
    <x:row r="85">
      <x:c r="A85" s="7" t="str">
        <x:v>R083</x:v>
      </x:c>
      <x:c r="B85" s="7" t="str">
        <x:v>Board edge</x:v>
      </x:c>
      <x:c r="C85" s="7" t="str">
        <x:v>Noisy trace close to edge</x:v>
      </x:c>
      <x:c r="D85" s="7" t="str">
        <x:v>Radiation/cable coupling</x:v>
      </x:c>
      <x:c r="E85" s="7" t="str">
        <x:v>Keep high dv/dt/di/dt traces away from edges/connectors; add guard ground</x:v>
      </x:c>
      <x:c r="F85" s="7" t="str">
        <x:v>Edge proximity increases fringe fields and cable coupling</x:v>
      </x:c>
      <x:c r="G85" s="7" t="str">
        <x:v>Model C to chassis/cable as sensitivity</x:v>
      </x:c>
      <x:c r="H85" s="7" t="str">
        <x:v>distance to edge, cable proximity</x:v>
      </x:c>
      <x:c r="I85" s="7" t="str">
        <x:v>Radiated extension pre-check</x:v>
      </x:c>
      <x:c r="J85" s="7" t="str">
        <x:v>Ccpl to external conductor</x:v>
      </x:c>
      <x:c r="K85" s="7" t="str">
        <x:v>Low</x:v>
      </x:c>
      <x:c r="L85" s="7" t="str">
        <x:v>S003, S029</x:v>
      </x:c>
      <x:c r="M85" s="7" t="str">
        <x:v>https://www.we-online.com/files/pdf1/emc-design-tips-2025_en.pdf ; https://www.we-online.com/files/pdf1/03.-design-for-emc-2026.pdf</x:v>
      </x:c>
    </x:row>
    <x:row r="86">
      <x:c r="A86" s="7" t="str">
        <x:v>R084</x:v>
      </x:c>
      <x:c r="B86" s="7" t="str">
        <x:v>Component model</x:v>
      </x:c>
      <x:c r="C86" s="7" t="str">
        <x:v>Resistor/capacitor pads</x:v>
      </x:c>
      <x:c r="D86" s="7" t="str">
        <x:v>Pad capacitance</x:v>
      </x:c>
      <x:c r="E86" s="7" t="str">
        <x:v>Use 0.05–0.3 pF per small pad to plane as sensitivity test</x:v>
      </x:c>
      <x:c r="F86" s="7" t="str">
        <x:v>Pad capacitance matters at RF/fast nodes</x:v>
      </x:c>
      <x:c r="G86" s="7" t="str">
        <x:v>C=εA/d using pad area</x:v>
      </x:c>
      <x:c r="H86" s="7" t="str">
        <x:v>pad area, plane spacing</x:v>
      </x:c>
      <x:c r="I86" s="7" t="str">
        <x:v>RF/high-speed/load capacitance</x:v>
      </x:c>
      <x:c r="J86" s="7" t="str">
        <x:v>Cpad to GND</x:v>
      </x:c>
      <x:c r="K86" s="7" t="str">
        <x:v>Low</x:v>
      </x:c>
      <x:c r="L86" s="7" t="str">
        <x:v>S025, S003</x:v>
      </x:c>
      <x:c r="M86" s="7" t="str">
        <x:v>https://chemandy.com/calculators/rectangular-capacitor-calculator.htm ; https://www.we-online.com/files/pdf1/emc-design-tips-2025_en.pdf</x:v>
      </x:c>
    </x:row>
    <x:row r="87">
      <x:c r="A87" s="7" t="str">
        <x:v>R085</x:v>
      </x:c>
      <x:c r="B87" s="7" t="str">
        <x:v>Component model</x:v>
      </x:c>
      <x:c r="C87" s="7" t="str">
        <x:v>Inductor pad and routing</x:v>
      </x:c>
      <x:c r="D87" s="7" t="str">
        <x:v>Parasitic capacitance to SW/GND</x:v>
      </x:c>
      <x:c r="E87" s="7" t="str">
        <x:v>Model pad-to-plane and pad-to-pad C for EMI filter/SW node</x:v>
      </x:c>
      <x:c r="F87" s="7" t="str">
        <x:v>Can bypass inductor at high frequency</x:v>
      </x:c>
      <x:c r="G87" s="7" t="str">
        <x:v>C=εA/d; vendor model preferred</x:v>
      </x:c>
      <x:c r="H87" s="7" t="str">
        <x:v>pad area, dielectric, SRF</x:v>
      </x:c>
      <x:c r="I87" s="7" t="str">
        <x:v>Filter and DC/DC inductor model</x:v>
      </x:c>
      <x:c r="J87" s="7" t="str">
        <x:v>Cp across L and C to planes</x:v>
      </x:c>
      <x:c r="K87" s="7" t="str">
        <x:v>Medium</x:v>
      </x:c>
      <x:c r="L87" s="7" t="str">
        <x:v>S020, S003</x:v>
      </x:c>
      <x:c r="M87" s="7" t="str">
        <x:v>https://www.coilcraft.com/en-us/resources/application-notes/fundamentals-of-electromagnetic-compliance/ ; https://www.we-online.com/files/pdf1/emc-design-tips-2025_en.pdf</x:v>
      </x:c>
    </x:row>
    <x:row r="88">
      <x:c r="A88" s="7" t="str">
        <x:v>R086</x:v>
      </x:c>
      <x:c r="B88" s="7" t="str">
        <x:v>Simulation guardrail</x:v>
      </x:c>
      <x:c r="C88" s="7" t="str">
        <x:v>Any guessed parasitic</x:v>
      </x:c>
      <x:c r="D88" s="7" t="str">
        <x:v>Sensitivity sweep</x:v>
      </x:c>
      <x:c r="E88" s="7" t="str">
        <x:v>Sweep at least ×0.5/×1/×2; for uncertain coupling use decade sweep</x:v>
      </x:c>
      <x:c r="F88" s="7" t="str">
        <x:v>Single guessed value can mislead</x:v>
      </x:c>
      <x:c r="G88" s="7" t="str">
        <x:v>Use .step param in LTspice</x:v>
      </x:c>
      <x:c r="H88" s="7" t="str">
        <x:v>nominal estimate, uncertainty</x:v>
      </x:c>
      <x:c r="I88" s="7" t="str">
        <x:v>All EMI pre-compliance simulations</x:v>
      </x:c>
      <x:c r="J88" s="7" t="str">
        <x:v>.step param L/C/R</x:v>
      </x:c>
      <x:c r="K88" s="7" t="str">
        <x:v>High</x:v>
      </x:c>
      <x:c r="L88" s="7" t="str">
        <x:v>S002, S017</x:v>
      </x:c>
      <x:c r="M88" s="7" t="str">
        <x:v>https://www.analog.com/en/resources/technical-articles/how-to-get-the-best-results-using-ltspice-part-1.html ; https://www.rohde-schwarz.com/nl/applications/conducted-emissions-in-dc-dc-converters-simulation-versus-measurement_56279-1125376.html</x:v>
      </x:c>
    </x:row>
    <x:row r="89">
      <x:c r="A89" s="7" t="str">
        <x:v>R087</x:v>
      </x:c>
      <x:c r="B89" s="7" t="str">
        <x:v>Simulation guardrail</x:v>
      </x:c>
      <x:c r="C89" s="7" t="str">
        <x:v>No physical layout known</x:v>
      </x:c>
      <x:c r="D89" s="7" t="str">
        <x:v>Default fallback</x:v>
      </x:c>
      <x:c r="E89" s="7" t="str">
        <x:v>Use conservative ranges, not exact values; request stack-up/geometry</x:v>
      </x:c>
      <x:c r="F89" s="7" t="str">
        <x:v>Agent should not present exact pass/fail</x:v>
      </x:c>
      <x:c r="G89" s="7" t="str">
        <x:v>Use known generic defaults and document assumptions</x:v>
      </x:c>
      <x:c r="H89" s="7" t="str">
        <x:v>unknowns list</x:v>
      </x:c>
      <x:c r="I89" s="7" t="str">
        <x:v>Early schematic stage</x:v>
      </x:c>
      <x:c r="J89" s="7" t="str">
        <x:v>Parametric models</x:v>
      </x:c>
      <x:c r="K89" s="7" t="str">
        <x:v>High</x:v>
      </x:c>
      <x:c r="L89" s="7" t="str">
        <x:v>S002, S017</x:v>
      </x:c>
      <x:c r="M89" s="7" t="str">
        <x:v>https://www.analog.com/en/resources/technical-articles/how-to-get-the-best-results-using-ltspice-part-1.html ; https://www.rohde-schwarz.com/nl/applications/conducted-emissions-in-dc-dc-converters-simulation-versus-measurement_56279-1125376.html</x:v>
      </x:c>
    </x:row>
    <x:row r="90">
      <x:c r="A90" s="7" t="str">
        <x:v>R088</x:v>
      </x:c>
      <x:c r="B90" s="7" t="str">
        <x:v>Simulation guardrail</x:v>
      </x:c>
      <x:c r="C90" s="7" t="str">
        <x:v>Frequency above ~100–300 MHz on FR-4 PCB</x:v>
      </x:c>
      <x:c r="D90" s="7" t="str">
        <x:v>Accuracy warning</x:v>
      </x:c>
      <x:c r="E90" s="7" t="str">
        <x:v>Lumped models become limited; use distributed/S-parameter/field solver</x:v>
      </x:c>
      <x:c r="F90" s="7" t="str">
        <x:v>Geometry, losses, radiation and fixtures dominate</x:v>
      </x:c>
      <x:c r="G90" s="7" t="str">
        <x:v>Switch from lumped to TL/S-parameters</x:v>
      </x:c>
      <x:c r="H90" s="7" t="str">
        <x:v>frequency, line length, geometry</x:v>
      </x:c>
      <x:c r="I90" s="7" t="str">
        <x:v>Radiated/faster comms extension</x:v>
      </x:c>
      <x:c r="J90" s="7" t="str">
        <x:v>TLINE/S-parameter</x:v>
      </x:c>
      <x:c r="K90" s="7" t="str">
        <x:v>High</x:v>
      </x:c>
      <x:c r="L90" s="7" t="str">
        <x:v>S018, S019, S006</x:v>
      </x:c>
      <x:c r="M90" s="7" t="str">
        <x:v>https://www.ti.com/lit/pdf/snla043 ; https://www.ti.com/lit/pdf/snla028 ; https://www.protoexpress.com/tools/pcb-impedance-calculator/</x:v>
      </x:c>
    </x:row>
    <x:row r="91">
      <x:c r="A91" s="7" t="str">
        <x:v>R089</x:v>
      </x:c>
      <x:c r="B91" s="7" t="str">
        <x:v>Production guardrail</x:v>
      </x:c>
      <x:c r="C91" s="7" t="str">
        <x:v>Design handoff to PCB fabricator</x:v>
      </x:c>
      <x:c r="D91" s="7" t="str">
        <x:v>Stack-up data required</x:v>
      </x:c>
      <x:c r="E91" s="7" t="str">
        <x:v>Require dielectric thickness, Er/Df, copper thickness, etch tolerance, soldermask, impedance tolerance</x:v>
      </x:c>
      <x:c r="F91" s="7" t="str">
        <x:v>Generic FR-4 values are not enough for production</x:v>
      </x:c>
      <x:c r="G91" s="7" t="str">
        <x:v>Use controlled impedance stack-up from fab</x:v>
      </x:c>
      <x:c r="H91" s="7" t="str">
        <x:v>fab data</x:v>
      </x:c>
      <x:c r="I91" s="7" t="str">
        <x:v>DFM/production requirements</x:v>
      </x:c>
      <x:c r="J91" s="7" t="str">
        <x:v>Update parasitics from fab stack-up</x:v>
      </x:c>
      <x:c r="K91" s="7" t="str">
        <x:v>High</x:v>
      </x:c>
      <x:c r="L91" s="7" t="str">
        <x:v>S006, S004</x:v>
      </x:c>
      <x:c r="M91" s="7" t="str">
        <x:v>https://www.protoexpress.com/tools/pcb-impedance-calculator/ ; https://saturnpcb.com/saturn-pcb-toolkit/</x:v>
      </x:c>
    </x:row>
    <x:row r="92">
      <x:c r="A92" s="7" t="str">
        <x:v>R090</x:v>
      </x:c>
      <x:c r="B92" s="7" t="str">
        <x:v>Production guardrail</x:v>
      </x:c>
      <x:c r="C92" s="7" t="str">
        <x:v>Safety/AC mains PCB</x:v>
      </x:c>
      <x:c r="D92" s="7" t="str">
        <x:v>Safety/compliance boundary</x:v>
      </x:c>
      <x:c r="E92" s="7" t="str">
        <x:v>Do not infer creepage/clearance from EMI source only</x:v>
      </x:c>
      <x:c r="F92" s="7" t="str">
        <x:v>Use applicable IEC/UL/IPC requirements legally; parasitic model is not safety review</x:v>
      </x:c>
      <x:c r="G92" s="7" t="str">
        <x:v>Separate EMC parasitic estimate from safety compliance</x:v>
      </x:c>
      <x:c r="H92" s="7" t="str">
        <x:v>mains voltage, pollution degree, insulation class</x:v>
      </x:c>
      <x:c r="I92" s="7" t="str">
        <x:v>AC/DC products</x:v>
      </x:c>
      <x:c r="J92" s="7" t="str">
        <x:v>N/A</x:v>
      </x:c>
      <x:c r="K92" s="7" t="str">
        <x:v>High</x:v>
      </x:c>
      <x:c r="L92" s="7" t="str">
        <x:v>S029, S022</x:v>
      </x:c>
      <x:c r="M92" s="7" t="str">
        <x:v>https://www.we-online.com/files/pdf1/03.-design-for-emc-2026.pdf ; https://www.ti.com/lit/ml/slyp762/slyp762.pdf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670a985fa51a4ef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34" hidden="0" customWidth="1"/>
    <x:col min="6" max="6" width="18" hidden="0" customWidth="1"/>
  </x:cols>
  <x:sheetData>
    <x:row r="1" ht="26" customHeight="1">
      <x:c r="A1" s="12" t="str">
        <x:v>Formulas and calculation methods</x:v>
      </x:c>
      <x:c r="B1" t="str"/>
      <x:c r="C1" t="str"/>
      <x:c r="D1" t="str"/>
      <x:c r="E1" t="str"/>
      <x:c r="F1" t="str"/>
    </x:row>
    <x:row r="2">
      <x:c r="A2" s="20" t="str">
        <x:v>Recipe_ID</x:v>
      </x:c>
      <x:c r="B2" s="20" t="str">
        <x:v>Calculation_recipe</x:v>
      </x:c>
      <x:c r="C2" s="20" t="str">
        <x:v>Formula_or_method</x:v>
      </x:c>
      <x:c r="D2" s="20" t="str">
        <x:v>Inputs_needed</x:v>
      </x:c>
      <x:c r="E2" s="20" t="str">
        <x:v>Agent_notes</x:v>
      </x:c>
      <x:c r="F2" s="20" t="str">
        <x:v>Source_IDs</x:v>
      </x:c>
    </x:row>
    <x:row r="3">
      <x:c r="A3" s="7" t="str">
        <x:v>C001</x:v>
      </x:c>
      <x:c r="B3" s="7" t="str">
        <x:v>Copper DC resistance</x:v>
      </x:c>
      <x:c r="C3" s="7" t="str">
        <x:v>R = ρ·l/(w·t); at 20°C ρCu≈1.724e-8Ωm. R_temp=R20·(1+0.00393·(T-20)).</x:v>
      </x:c>
      <x:c r="D3" s="7" t="str">
        <x:v>length, width, copper thickness, temperature</x:v>
      </x:c>
      <x:c r="E3" s="7" t="str">
        <x:v>Use finished copper thickness and neck-downs. For 1 oz Cu, Rsq≈0.49mΩ/sq.</x:v>
      </x:c>
      <x:c r="F3" s="7" t="str">
        <x:v>S004; S022</x:v>
      </x:c>
    </x:row>
    <x:row r="4">
      <x:c r="A4" s="7" t="str">
        <x:v>C002</x:v>
      </x:c>
      <x:c r="B4" s="7" t="str">
        <x:v>Copper sheet resistance</x:v>
      </x:c>
      <x:c r="C4" s="7" t="str">
        <x:v>Rsq = ρ/t. For 35µm Cu: ≈0.492mΩ/sq; 17.5µm: ≈0.985mΩ/sq; 70µm: ≈0.246mΩ/sq.</x:v>
      </x:c>
      <x:c r="D4" s="7" t="str">
        <x:v>copper thickness</x:v>
      </x:c>
      <x:c r="E4" s="7" t="str">
        <x:v>Useful for polygons and power paths: R=Rsq·number_of_squares.</x:v>
      </x:c>
      <x:c r="F4" s="7" t="str">
        <x:v>S004</x:v>
      </x:c>
    </x:row>
    <x:row r="5">
      <x:c r="A5" s="7" t="str">
        <x:v>C003</x:v>
      </x:c>
      <x:c r="B5" s="7" t="str">
        <x:v>Skin depth in copper</x:v>
      </x:c>
      <x:c r="C5" s="7" t="str">
        <x:v>δ[µm]≈66/sqrt(f_MHz).</x:v>
      </x:c>
      <x:c r="D5" s="7" t="str">
        <x:v>frequency</x:v>
      </x:c>
      <x:c r="E5" s="7" t="str">
        <x:v>If copper thickness &gt;&gt; skin depth, AC resistance rises. For EMI, R may damp resonances but also cause losses.</x:v>
      </x:c>
      <x:c r="F5" s="7" t="str">
        <x:v>S018; S019</x:v>
      </x:c>
    </x:row>
    <x:row r="6">
      <x:c r="A6" s="7" t="str">
        <x:v>C004</x:v>
      </x:c>
      <x:c r="B6" s="7" t="str">
        <x:v>Microstrip impedance first pass</x:v>
      </x:c>
      <x:c r="C6" s="7" t="str">
        <x:v>Use IPC-2141 or calculator: Z0 depends on W,H,T,εr; do not hard-code without stack-up.</x:v>
      </x:c>
      <x:c r="D6" s="7" t="str">
        <x:v>W, H, T, εr</x:v>
      </x:c>
      <x:c r="E6" s="7" t="str">
        <x:v>Good for initial agent estimate; final controlled impedance via fabricator/field solver.</x:v>
      </x:c>
      <x:c r="F6" s="7" t="str">
        <x:v>S005; S006; S027</x:v>
      </x:c>
    </x:row>
    <x:row r="7">
      <x:c r="A7" s="7" t="str">
        <x:v>C005</x:v>
      </x:c>
      <x:c r="B7" s="7" t="str">
        <x:v>Per-unit L and C from Z0 and delay</x:v>
      </x:c>
      <x:c r="C7" s="7" t="str">
        <x:v>L'=Z0·td, C'=td/Z0. Convert delay per meter to H/m and F/m.</x:v>
      </x:c>
      <x:c r="D7" s="7" t="str">
        <x:v>Z0, propagation delay</x:v>
      </x:c>
      <x:c r="E7" s="7" t="str">
        <x:v>Robust way to derive L/C for a line when a calculator gives Z0 and delay.</x:v>
      </x:c>
      <x:c r="F7" s="7" t="str">
        <x:v>S011</x:v>
      </x:c>
    </x:row>
    <x:row r="8">
      <x:c r="A8" s="7" t="str">
        <x:v>C006</x:v>
      </x:c>
      <x:c r="B8" s="7" t="str">
        <x:v>Propagation delay</x:v>
      </x:c>
      <x:c r="C8" s="7" t="str">
        <x:v>td≈√εeff/c for microstrip; td≈√εr/c for stripline.</x:v>
      </x:c>
      <x:c r="D8" s="7" t="str">
        <x:v>εeff or εr</x:v>
      </x:c>
      <x:c r="E8" s="7" t="str">
        <x:v>FR-4 rough: microstrip ≈55–67ps/cm, stripline ≈63–75ps/cm.</x:v>
      </x:c>
      <x:c r="F8" s="7" t="str">
        <x:v>S011; S006</x:v>
      </x:c>
    </x:row>
    <x:row r="9">
      <x:c r="A9" s="7" t="str">
        <x:v>C007</x:v>
      </x:c>
      <x:c r="B9" s="7" t="str">
        <x:v>Plane/polygon capacitance</x:v>
      </x:c>
      <x:c r="C9" s="7" t="str">
        <x:v>C[pF]=0.008854·εr·A_mm²/d_mm.</x:v>
      </x:c>
      <x:c r="D9" s="7" t="str">
        <x:v>overlap area, dielectric thickness, εr</x:v>
      </x:c>
      <x:c r="E9" s="7" t="str">
        <x:v>Upper bound for broadside overlap; edge/fringing needs field solver or Chemandy edge-effect calculator.</x:v>
      </x:c>
      <x:c r="F9" s="7" t="str">
        <x:v>S003; S025</x:v>
      </x:c>
    </x:row>
    <x:row r="10">
      <x:c r="A10" s="7" t="str">
        <x:v>C008</x:v>
      </x:c>
      <x:c r="B10" s="7" t="str">
        <x:v>Plane pair inductance</x:v>
      </x:c>
      <x:c r="C10" s="7" t="str">
        <x:v>L[nH]≈1.257·d_mm·(length/width).</x:v>
      </x:c>
      <x:c r="D10" s="7" t="str">
        <x:v>plane spacing, current-path length and width</x:v>
      </x:c>
      <x:c r="E10" s="7" t="str">
        <x:v>Useful for PDN spreading inductance between adjacent planes.</x:v>
      </x:c>
      <x:c r="F10" s="7" t="str">
        <x:v>S003; S011</x:v>
      </x:c>
    </x:row>
    <x:row r="11">
      <x:c r="A11" s="7" t="str">
        <x:v>C009</x:v>
      </x:c>
      <x:c r="B11" s="7" t="str">
        <x:v>Isolated flat trace inductance</x:v>
      </x:c>
      <x:c r="C11" s="7" t="str">
        <x:v>L[nH]=0.002·l_mm·(ln(2l/(w+t))+0.5+0.2235(w+t)/l).</x:v>
      </x:c>
      <x:c r="D11" s="7" t="str">
        <x:v>length, width, thickness, all in mm</x:v>
      </x:c>
      <x:c r="E11" s="7" t="str">
        <x:v>Overestimates when close return plane exists; use for no-plane/upper-bound cases.</x:v>
      </x:c>
      <x:c r="F11" s="7" t="str">
        <x:v>S026; S028</x:v>
      </x:c>
    </x:row>
    <x:row r="12">
      <x:c r="A12" s="7" t="str">
        <x:v>C010</x:v>
      </x:c>
      <x:c r="B12" s="7" t="str">
        <x:v>Via inductance</x:v>
      </x:c>
      <x:c r="C12" s="7" t="str">
        <x:v>L[nH]≈0.2·h_mm·(ln(4h/d)+1).</x:v>
      </x:c>
      <x:c r="D12" s="7" t="str">
        <x:v>via barrel length h, drill diameter d</x:v>
      </x:c>
      <x:c r="E12" s="7" t="str">
        <x:v>First-pass through-via inductance; multiple vias reduce effective L imperfectly.</x:v>
      </x:c>
      <x:c r="F12" s="7" t="str">
        <x:v>S004; S008</x:v>
      </x:c>
    </x:row>
    <x:row r="13">
      <x:c r="A13" s="7" t="str">
        <x:v>C011</x:v>
      </x:c>
      <x:c r="B13" s="7" t="str">
        <x:v>Via capacitance</x:v>
      </x:c>
      <x:c r="C13" s="7" t="str">
        <x:v>C[pF]≈0.0555·εr·T_mm·Dpad_mm/(Dantipad_mm-Dpad_mm).</x:v>
      </x:c>
      <x:c r="D13" s="7" t="str">
        <x:v>board thickness, pad, antipad, εr</x:v>
      </x:c>
      <x:c r="E13" s="7" t="str">
        <x:v>Use as high-speed/via-stub loading estimate.</x:v>
      </x:c>
      <x:c r="F13" s="7" t="str">
        <x:v>S004; S024</x:v>
      </x:c>
    </x:row>
    <x:row r="14">
      <x:c r="A14" s="7" t="str">
        <x:v>C012</x:v>
      </x:c>
      <x:c r="B14" s="7" t="str">
        <x:v>Resonant frequency</x:v>
      </x:c>
      <x:c r="C14" s="7" t="str">
        <x:v>f_MHz≈5033/sqrt(L_nH·C_pF).</x:v>
      </x:c>
      <x:c r="D14" s="7" t="str">
        <x:v>L in nH, C in pF</x:v>
      </x:c>
      <x:c r="E14" s="7" t="str">
        <x:v>Useful for MLCC SRF, parasitic ringing, LC filter resonance.</x:v>
      </x:c>
      <x:c r="F14" s="7" t="str">
        <x:v>S013; S021</x:v>
      </x:c>
    </x:row>
    <x:row r="15">
      <x:c r="A15" s="7" t="str">
        <x:v>C013</x:v>
      </x:c>
      <x:c r="B15" s="7" t="str">
        <x:v>Capacitive coupling current</x:v>
      </x:c>
      <x:c r="C15" s="7" t="str">
        <x:v>I=Ccouple·dv/dt.</x:v>
      </x:c>
      <x:c r="D15" s="7" t="str">
        <x:v>Ccouple, edge/switching dv/dt</x:v>
      </x:c>
      <x:c r="E15" s="7" t="str">
        <x:v>Even pF-level coupling can be significant at high dv/dt.</x:v>
      </x:c>
      <x:c r="F15" s="7" t="str">
        <x:v>S003</x:v>
      </x:c>
    </x:row>
    <x:row r="16">
      <x:c r="A16" s="7" t="str">
        <x:v>C014</x:v>
      </x:c>
      <x:c r="B16" s="7" t="str">
        <x:v>Inductive coupling voltage</x:v>
      </x:c>
      <x:c r="C16" s="7" t="str">
        <x:v>V=M·di/dt; M=k√(L1L2).</x:v>
      </x:c>
      <x:c r="D16" s="7" t="str">
        <x:v>mutual inductance or k,L1,L2 and di/dt</x:v>
      </x:c>
      <x:c r="E16" s="7" t="str">
        <x:v>Use for current-loop coupling sensitivity sweeps.</x:v>
      </x:c>
      <x:c r="F16" s="7" t="str">
        <x:v>S003; S012</x:v>
      </x:c>
    </x:row>
    <x:row r="17">
      <x:c r="A17" s="7" t="str">
        <x:v>C015</x:v>
      </x:c>
      <x:c r="B17" s="7" t="str">
        <x:v>Common impedance coupling</x:v>
      </x:c>
      <x:c r="C17" s="7" t="str">
        <x:v>Vnoise=Inoise·(R+jωL).</x:v>
      </x:c>
      <x:c r="D17" s="7" t="str">
        <x:v>shared path R/L, frequency, current</x:v>
      </x:c>
      <x:c r="E17" s="7" t="str">
        <x:v>Good for ground-bounce and shared input rail coupling.</x:v>
      </x:c>
      <x:c r="F17" s="7" t="str">
        <x:v>S030; S001</x:v>
      </x:c>
    </x:row>
    <x:row r="18">
      <x:c r="A18" s="7" t="str">
        <x:v>C016</x:v>
      </x:c>
      <x:c r="B18" s="7" t="str">
        <x:v>Cable L/C from Z0 and velocity</x:v>
      </x:c>
      <x:c r="C18" s="7" t="str">
        <x:v>L'=Z0/v, C'=1/(Z0·v).</x:v>
      </x:c>
      <x:c r="D18" s="7" t="str">
        <x:v>characteristic impedance, propagation velocity</x:v>
      </x:c>
      <x:c r="E18" s="7" t="str">
        <x:v>Use if datasheet lacks L/C but gives Z0 and velocity factor.</x:v>
      </x:c>
      <x:c r="F18" s="7" t="str">
        <x:v>S018; S019</x:v>
      </x:c>
    </x:row>
    <x:row r="19">
      <x:c r="A19" s="7" t="str">
        <x:v>C017</x:v>
      </x:c>
      <x:c r="B19" s="7" t="str">
        <x:v>Cable model from datasheet</x:v>
      </x:c>
      <x:c r="C19" s="7" t="str">
        <x:v>Use per-meter R,L,C,G and split into π or T sections; 5–20 sections for EMI band if lumped.</x:v>
      </x:c>
      <x:c r="D19" s="7" t="str">
        <x:v>cable length, R/L/C/G per m, max frequency</x:v>
      </x:c>
      <x:c r="E19" s="7" t="str">
        <x:v>For long cable, use transmission-line model when length is significant vs wavelength or rise time.</x:v>
      </x:c>
      <x:c r="F19" s="7" t="str">
        <x:v>S010; S019</x:v>
      </x:c>
    </x:row>
    <x:row r="20">
      <x:c r="A20" s="7" t="str">
        <x:v>C018</x:v>
      </x:c>
      <x:c r="B20" s="7" t="str">
        <x:v>Ringing extraction with added capacitor</x:v>
      </x:c>
      <x:c r="C20" s="7" t="str">
        <x:v>Measure f1 before and f2 after adding known Cadd; solve for original C and L.</x:v>
      </x:c>
      <x:c r="D20" s="7" t="str">
        <x:v>f1, f2, Cadd</x:v>
      </x:c>
      <x:c r="E20" s="7" t="str">
        <x:v>Useful when fitting SW-node parasitic capacitance/inductance from measurements.</x:v>
      </x:c>
      <x:c r="F20" s="7" t="str">
        <x:v>S021</x:v>
      </x:c>
    </x:row>
    <x:row r="21">
      <x:c r="A21" s="7" t="str">
        <x:v>C019</x:v>
      </x:c>
      <x:c r="B21" s="7" t="str">
        <x:v>Snubber first pass</x:v>
      </x:c>
      <x:c r="C21" s="7" t="str">
        <x:v>RC snubber across ringing node: choose Csnub comparable to estimated Cpar or several times it; R≈sqrt(L/Ctotal) order-of-magnitude.</x:v>
      </x:c>
      <x:c r="D21" s="7" t="str">
        <x:v>Lpar, Cpar, ring frequency</x:v>
      </x:c>
      <x:c r="E21" s="7" t="str">
        <x:v>Validate thermals/loss and EMI by simulation/measurement.</x:v>
      </x:c>
      <x:c r="F21" s="7" t="str">
        <x:v>S021</x:v>
      </x:c>
    </x:row>
    <x:row r="22">
      <x:c r="A22" s="7" t="str">
        <x:v>C020</x:v>
      </x:c>
      <x:c r="B22" s="7" t="str">
        <x:v>Capacitor impedance model</x:v>
      </x:c>
      <x:c r="C22" s="7" t="str">
        <x:v>Zcap = ESR + jωESL + 1/(jωC).</x:v>
      </x:c>
      <x:c r="D22" s="7" t="str">
        <x:v>C, ESR, ESL</x:v>
      </x:c>
      <x:c r="E22" s="7" t="str">
        <x:v>Essential for conducted EMI; ideal capacitors hide high-frequency behavior.</x:v>
      </x:c>
      <x:c r="F22" s="7" t="str">
        <x:v>S002; S013; S017</x:v>
      </x:c>
    </x:row>
    <x:row r="23">
      <x:c r="A23" s="7" t="str">
        <x:v>C021</x:v>
      </x:c>
      <x:c r="B23" s="7" t="str">
        <x:v>Inductor high-frequency model</x:v>
      </x:c>
      <x:c r="C23" s="7" t="str">
        <x:v>Use L with DCR in series and Cp in parallel; above SRF impedance becomes capacitive.</x:v>
      </x:c>
      <x:c r="D23" s="7" t="str">
        <x:v>L, DCR, Cp or SRF</x:v>
      </x:c>
      <x:c r="E23" s="7" t="str">
        <x:v>For EMI filters, vendor impedance data is preferable.</x:v>
      </x:c>
      <x:c r="F23" s="7" t="str">
        <x:v>S020; S002</x:v>
      </x:c>
    </x:row>
    <x:row r="24">
      <x:c r="A24" s="7" t="str">
        <x:v>C022</x:v>
      </x:c>
      <x:c r="B24" s="7" t="str">
        <x:v>Ferrite bead simplified model</x:v>
      </x:c>
      <x:c r="C24" s="7" t="str">
        <x:v>Use frequency-dependent impedance; if simplified, fit R/L/C ladder around problem band.</x:v>
      </x:c>
      <x:c r="D24" s="7" t="str">
        <x:v>Z(f), DC bias, current</x:v>
      </x:c>
      <x:c r="E24" s="7" t="str">
        <x:v>Pure L model is misleading above low frequencies.</x:v>
      </x:c>
      <x:c r="F24" s="7" t="str">
        <x:v>S020; S002</x:v>
      </x:c>
    </x:row>
    <x:row r="25">
      <x:c r="A25" s="7" t="str">
        <x:v>C023</x:v>
      </x:c>
      <x:c r="B25" s="7" t="str">
        <x:v>Return path transition</x:v>
      </x:c>
      <x:c r="C25" s="7" t="str">
        <x:v>When signal changes reference plane, add decoupling capacitor impedance between planes near transition.</x:v>
      </x:c>
      <x:c r="D25" s="7" t="str">
        <x:v>layer transition, nearby decap ESL/ESR</x:v>
      </x:c>
      <x:c r="E25" s="7" t="str">
        <x:v>Absent local return bridge creates loop and radiation risk.</x:v>
      </x:c>
      <x:c r="F25" s="7" t="str">
        <x:v>S001; S008</x:v>
      </x:c>
    </x:row>
    <x:row r="26">
      <x:c r="A26" s="7" t="str">
        <x:v>C024</x:v>
      </x:c>
      <x:c r="B26" s="7" t="str">
        <x:v>Thermal relief parasitics</x:v>
      </x:c>
      <x:c r="C26" s="7" t="str">
        <x:v>Model each spoke as a narrow trace R/L; avoid thermal relief on HF/high-current paths when possible.</x:v>
      </x:c>
      <x:c r="D26" s="7" t="str">
        <x:v>spoke width/length/count</x:v>
      </x:c>
      <x:c r="E26" s="7" t="str">
        <x:v>Important for EMI capacitors, MOSFET pads, high-current vias.</x:v>
      </x:c>
      <x:c r="F26" s="7" t="str">
        <x:v>S009</x:v>
      </x:c>
    </x:row>
    <x:row r="27">
      <x:c r="A27" s="7" t="str">
        <x:v>C025</x:v>
      </x:c>
      <x:c r="B27" s="7" t="str">
        <x:v>Sensitivity sweep policy</x:v>
      </x:c>
      <x:c r="C27" s="7" t="str">
        <x:v>.step L/C/R by at least 0.5×, 1×, 2×; uncertain coupling by decade sweep.</x:v>
      </x:c>
      <x:c r="D27" s="7" t="str">
        <x:v>nominal parasitic and uncertainty</x:v>
      </x:c>
      <x:c r="E27" s="7" t="str">
        <x:v>Agent should report outcome as sensitivity, not exact truth.</x:v>
      </x:c>
      <x:c r="F27" s="7" t="str">
        <x:v>S002; S017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9f29bd8bcfc44d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28" hidden="0" customWidth="1"/>
    <x:col min="6" max="6" width="45" hidden="0" customWidth="1"/>
    <x:col min="7" max="7" width="34" hidden="0" customWidth="1"/>
    <x:col min="8" max="8" width="34" hidden="0" customWidth="1"/>
  </x:cols>
  <x:sheetData>
    <x:row r="1" ht="26" customHeight="1">
      <x:c r="A1" s="12" t="str">
        <x:v>Public source catalog</x:v>
      </x:c>
      <x:c r="B1" t="str"/>
      <x:c r="C1" t="str"/>
      <x:c r="D1" t="str"/>
      <x:c r="E1" t="str"/>
      <x:c r="F1" t="str"/>
      <x:c r="G1" t="str"/>
      <x:c r="H1" t="str"/>
    </x:row>
    <x:row r="2">
      <x:c r="A2" s="20" t="str">
        <x:v>Source_ID</x:v>
      </x:c>
      <x:c r="B2" s="20" t="str">
        <x:v>Title</x:v>
      </x:c>
      <x:c r="C2" s="20" t="str">
        <x:v>Organization</x:v>
      </x:c>
      <x:c r="D2" s="20" t="str">
        <x:v>Type</x:v>
      </x:c>
      <x:c r="E2" s="20" t="str">
        <x:v>Topics</x:v>
      </x:c>
      <x:c r="F2" s="20" t="str">
        <x:v>URL</x:v>
      </x:c>
      <x:c r="G2" s="20" t="str">
        <x:v>Notes</x:v>
      </x:c>
      <x:c r="H2" s="20" t="str">
        <x:v>Use_caution</x:v>
      </x:c>
    </x:row>
    <x:row r="3">
      <x:c r="A3" s="7" t="str">
        <x:v>S001</x:v>
      </x:c>
      <x:c r="B3" s="7" t="str">
        <x:v>PCB Design Guidelines For Reduced EMI</x:v>
      </x:c>
      <x:c r="C3" s="7" t="str">
        <x:v>Texas Instruments</x:v>
      </x:c>
      <x:c r="D3" s="7" t="str">
        <x:v>Application report PDF</x:v>
      </x:c>
      <x:c r="E3" s="7" t="str">
        <x:v>EMI layout, return paths, loop area, ground planes</x:v>
      </x:c>
      <x:c r="F3" s="7" t="str">
        <x:v>https://www.ti.com/lit/pdf/szza009</x:v>
      </x:c>
      <x:c r="G3" s="7" t="str">
        <x:v>Public PDF. Useful for grounding/return-path rules and EMI layout heuristics.</x:v>
      </x:c>
      <x:c r="H3" s="7" t="str">
        <x:v>Do not copy full text; use as reference/link and summarize.</x:v>
      </x:c>
    </x:row>
    <x:row r="4">
      <x:c r="A4" s="7" t="str">
        <x:v>S002</x:v>
      </x:c>
      <x:c r="B4" s="7" t="str">
        <x:v>How to Get the Best Results Using LTspice for EMC Simulation — Part 1</x:v>
      </x:c>
      <x:c r="C4" s="7" t="str">
        <x:v>Analog Devices</x:v>
      </x:c>
      <x:c r="D4" s="7" t="str">
        <x:v>Technical article</x:v>
      </x:c>
      <x:c r="E4" s="7" t="str">
        <x:v>LTspice EMC workflow, conducted emissions, extracting parasitics</x:v>
      </x:c>
      <x:c r="F4" s="7" t="str">
        <x:v>https://www.analog.com/en/resources/technical-articles/how-to-get-the-best-results-using-ltspice-part-1.html</x:v>
      </x:c>
      <x:c r="G4" s="7" t="str">
        <x:v>Public article; explicitly discusses extracting ESR/ESL parasitics and using LTspice for EMC.</x:v>
      </x:c>
      <x:c r="H4" s="7" t="str">
        <x:v>Link and summarize; do not redistribute article.</x:v>
      </x:c>
    </x:row>
    <x:row r="5">
      <x:c r="A5" s="7" t="str">
        <x:v>S003</x:v>
      </x:c>
      <x:c r="B5" s="7" t="str">
        <x:v>EMC Design Tips 2025</x:v>
      </x:c>
      <x:c r="C5" s="7" t="str">
        <x:v>Würth Elektronik</x:v>
      </x:c>
      <x:c r="D5" s="7" t="str">
        <x:v>Public PDF / slides</x:v>
      </x:c>
      <x:c r="E5" s="7" t="str">
        <x:v>Capacitive coupling, inductive coupling, loop area, switch-node polygon size, PCB layer capacitance</x:v>
      </x:c>
      <x:c r="F5" s="7" t="str">
        <x:v>https://www.we-online.com/files/pdf1/emc-design-tips-2025_en.pdf</x:v>
      </x:c>
      <x:c r="G5" s="7" t="str">
        <x:v>Public training PDF with practical EMC rules and coupling equations.</x:v>
      </x:c>
      <x:c r="H5" s="7" t="str">
        <x:v>Training material; cite URL and paraphrase.</x:v>
      </x:c>
    </x:row>
    <x:row r="6">
      <x:c r="A6" s="7" t="str">
        <x:v>S004</x:v>
      </x:c>
      <x:c r="B6" s="7" t="str">
        <x:v>Saturn PCB Toolkit</x:v>
      </x:c>
      <x:c r="C6" s="7" t="str">
        <x:v>Saturn PCB Design</x:v>
      </x:c>
      <x:c r="D6" s="7" t="str">
        <x:v>Free calculator/tool page</x:v>
      </x:c>
      <x:c r="E6" s="7" t="str">
        <x:v>Impedance, via properties, PDN target impedance, planar inductors, trace width</x:v>
      </x:c>
      <x:c r="F6" s="7" t="str">
        <x:v>https://saturnpcb.com/saturn-pcb-toolkit/</x:v>
      </x:c>
      <x:c r="G6" s="7" t="str">
        <x:v>Free tool widely used for first-pass PCB calculations.</x:v>
      </x:c>
      <x:c r="H6" s="7" t="str">
        <x:v>Tool output should be validated against manufacturer stack-up / field solver.</x:v>
      </x:c>
    </x:row>
    <x:row r="7">
      <x:c r="A7" s="7" t="str">
        <x:v>S005</x:v>
      </x:c>
      <x:c r="B7" s="7" t="str">
        <x:v>Microstrip Transmission Line Calculator Using IPC-2141 Equation</x:v>
      </x:c>
      <x:c r="C7" s="7" t="str">
        <x:v>Chemandy Electronics</x:v>
      </x:c>
      <x:c r="D7" s="7" t="str">
        <x:v>Online calculator</x:v>
      </x:c>
      <x:c r="E7" s="7" t="str">
        <x:v>Microstrip impedance, IPC-2141, PCB geometry</x:v>
      </x:c>
      <x:c r="F7" s="7" t="str">
        <x:v>https://chemandy.com/calculators/microstrip-transmission-line-calculator-ipc2141.htm</x:v>
      </x:c>
      <x:c r="G7" s="7" t="str">
        <x:v>Public calculator page; useful as formula reference for first-order estimates.</x:v>
      </x:c>
      <x:c r="H7" s="7" t="str">
        <x:v>IPC-2141 closed-form equations are approximations; validate controlled impedance.</x:v>
      </x:c>
    </x:row>
    <x:row r="8">
      <x:c r="A8" s="7" t="str">
        <x:v>S006</x:v>
      </x:c>
      <x:c r="B8" s="7" t="str">
        <x:v>PCB Impedance Calculator</x:v>
      </x:c>
      <x:c r="C8" s="7" t="str">
        <x:v>Sierra Circuits / ProtoExpress</x:v>
      </x:c>
      <x:c r="D8" s="7" t="str">
        <x:v>Online calculator / field-solver tool</x:v>
      </x:c>
      <x:c r="E8" s="7" t="str">
        <x:v>Microstrip, stripline, differential impedance, losses, stack-up</x:v>
      </x:c>
      <x:c r="F8" s="7" t="str">
        <x:v>https://www.protoexpress.com/tools/pcb-impedance-calculator/</x:v>
      </x:c>
      <x:c r="G8" s="7" t="str">
        <x:v>Public tool for impedance and loss estimation; useful alternative to spreadsheet formulas.</x:v>
      </x:c>
      <x:c r="H8" s="7" t="str">
        <x:v>Check stack-up and material assumptions.</x:v>
      </x:c>
    </x:row>
    <x:row r="9">
      <x:c r="A9" s="7" t="str">
        <x:v>S007</x:v>
      </x:c>
      <x:c r="B9" s="7" t="str">
        <x:v>Section 5 High Speed PCB Layout Techniques</x:v>
      </x:c>
      <x:c r="C9" s="7" t="str">
        <x:v>Texas Instruments</x:v>
      </x:c>
      <x:c r="D9" s="7" t="str">
        <x:v>Seminar PDF</x:v>
      </x:c>
      <x:c r="E9" s="7" t="str">
        <x:v>Transmission lines, trace L/C, FR-4, high-speed PCB layout</x:v>
      </x:c>
      <x:c r="F9" s="7" t="str">
        <x:v>https://www.ti.com/lit/ml/slyp173/slyp173.pdf</x:v>
      </x:c>
      <x:c r="G9" s="7" t="str">
        <x:v>Public PDF; useful for explaining why L and C follow geometry and dielectric.</x:v>
      </x:c>
      <x:c r="H9" s="7" t="str">
        <x:v>Older material but stable fundamentals.</x:v>
      </x:c>
    </x:row>
    <x:row r="10">
      <x:c r="A10" s="7" t="str">
        <x:v>S008</x:v>
      </x:c>
      <x:c r="B10" s="7" t="str">
        <x:v>Decoupling Capacitors</x:v>
      </x:c>
      <x:c r="C10" s="7" t="str">
        <x:v>Texas Instruments</x:v>
      </x:c>
      <x:c r="D10" s="7" t="str">
        <x:v>Video notes PDF</x:v>
      </x:c>
      <x:c r="E10" s="7" t="str">
        <x:v>Decoupling layout, vias, trace inductance, power/ground planes</x:v>
      </x:c>
      <x:c r="F10" s="7" t="str">
        <x:v>https://www.ti.com/content/dam/videos/external-videos/de-de/9/3816841626001/6313253251112.mp4/subassets/notes-decoupling_capacitors.pdf</x:v>
      </x:c>
      <x:c r="G10" s="7" t="str">
        <x:v>Public PDF; practical layout guidance for reducing decoupling loop inductance.</x:v>
      </x:c>
      <x:c r="H10" s="7" t="str">
        <x:v>Use as training reference; do not copy slide deck.</x:v>
      </x:c>
    </x:row>
    <x:row r="11">
      <x:c r="A11" s="7" t="str">
        <x:v>S009</x:v>
      </x:c>
      <x:c r="B11" s="7" t="str">
        <x:v>AN-136: PCB Layout Considerations for Non-Isolated Switching Power Supplies</x:v>
      </x:c>
      <x:c r="C11" s="7" t="str">
        <x:v>Analog Devices</x:v>
      </x:c>
      <x:c r="D11" s="7" t="str">
        <x:v>Application note</x:v>
      </x:c>
      <x:c r="E11" s="7" t="str">
        <x:v>Switching regulator layout, ESL, thermal relief, current paths, gate loops</x:v>
      </x:c>
      <x:c r="F11" s="7" t="str">
        <x:v>https://www.analog.com/en/resources/app-notes/an-136.html</x:v>
      </x:c>
      <x:c r="G11" s="7" t="str">
        <x:v>Public app note; directly useful for DC/DC parasitic assumptions.</x:v>
      </x:c>
      <x:c r="H11" s="7" t="str">
        <x:v>Device-family context; generalize carefully.</x:v>
      </x:c>
    </x:row>
    <x:row r="12">
      <x:c r="A12" s="7" t="str">
        <x:v>S010</x:v>
      </x:c>
      <x:c r="B12" s="7" t="str">
        <x:v>Belden 8760 Multi-Pair Cable</x:v>
      </x:c>
      <x:c r="C12" s="7" t="str">
        <x:v>Belden</x:v>
      </x:c>
      <x:c r="D12" s="7" t="str">
        <x:v>Cable product page</x:v>
      </x:c>
      <x:c r="E12" s="7" t="str">
        <x:v>Cable DCR, capacitance, inductance, shield DCR</x:v>
      </x:c>
      <x:c r="F12" s="7" t="str">
        <x:v>https://www.belden.com/products/cable/electronic-wire-cable/multi-pair-cable/8760</x:v>
      </x:c>
      <x:c r="G12" s="7" t="str">
        <x:v>Public product page with nominal L and C per length; useful as cable-model example.</x:v>
      </x:c>
      <x:c r="H12" s="7" t="str">
        <x:v>Use actual cable datasheet whenever known.</x:v>
      </x:c>
    </x:row>
    <x:row r="13">
      <x:c r="A13" s="7" t="str">
        <x:v>S011</x:v>
      </x:c>
      <x:c r="B13" s="7" t="str">
        <x:v>AN-905: Transmission Line RAPIDESIGNER Operation and Applications Guide</x:v>
      </x:c>
      <x:c r="C13" s="7" t="str">
        <x:v>Texas Instruments / National Semiconductor</x:v>
      </x:c>
      <x:c r="D13" s="7" t="str">
        <x:v>Application note PDF</x:v>
      </x:c>
      <x:c r="E13" s="7" t="str">
        <x:v>Propagation delay, per-unit-length capacitance and inductance for microstrip/stripline</x:v>
      </x:c>
      <x:c r="F13" s="7" t="str">
        <x:v>https://www.ti.com/lit/pdf/snla035</x:v>
      </x:c>
      <x:c r="G13" s="7" t="str">
        <x:v>Public PDF; gives examples such as 75Ω microstrip L/C and stripline L/C.</x:v>
      </x:c>
      <x:c r="H13" s="7" t="str">
        <x:v>Older but useful as reference and sanity check.</x:v>
      </x:c>
    </x:row>
    <x:row r="14">
      <x:c r="A14" s="7" t="str">
        <x:v>S012</x:v>
      </x:c>
      <x:c r="B14" s="7" t="str">
        <x:v>EMI/EMC — EMC Inductors and Filters</x:v>
      </x:c>
      <x:c r="C14" s="7" t="str">
        <x:v>Würth Elektronik / IEEE.li mirror</x:v>
      </x:c>
      <x:c r="D14" s="7" t="str">
        <x:v>Public PDF / slides</x:v>
      </x:c>
      <x:c r="E14" s="7" t="str">
        <x:v>Coupling paths, rough parasitic capacitance/inductance values, DC/DC layout tips</x:v>
      </x:c>
      <x:c r="F14" s="7" t="str">
        <x:v>https://www.ieee.li/pdf/viewgraphs/emc_inductors_and_filters.pdf</x:v>
      </x:c>
      <x:c r="G14" s="7" t="str">
        <x:v>Contains useful first-pass values such as approx. capacitance/inductance of spaced wires.</x:v>
      </x:c>
      <x:c r="H14" s="7" t="str">
        <x:v>Presentation mirror; cite source and validate critical numbers.</x:v>
      </x:c>
    </x:row>
    <x:row r="15">
      <x:c r="A15" s="7" t="str">
        <x:v>S013</x:v>
      </x:c>
      <x:c r="B15" s="7" t="str">
        <x:v>MT-101: Decoupling Techniques</x:v>
      </x:c>
      <x:c r="C15" s="7" t="str">
        <x:v>Analog Devices</x:v>
      </x:c>
      <x:c r="D15" s="7" t="str">
        <x:v>Tutorial PDF</x:v>
      </x:c>
      <x:c r="E15" s="7" t="str">
        <x:v>Decoupling strategy, capacitor networks, ferrites, high-frequency supply noise</x:v>
      </x:c>
      <x:c r="F15" s="7" t="str">
        <x:v>https://www.analog.com/media/en/training-seminars/tutorials/MT-101.pdf</x:v>
      </x:c>
      <x:c r="G15" s="7" t="str">
        <x:v>Public tutorial; useful for decoupling philosophy and model selection.</x:v>
      </x:c>
      <x:c r="H15" s="7" t="str">
        <x:v>Do not overfit capacitor values without impedance target.</x:v>
      </x:c>
    </x:row>
    <x:row r="16">
      <x:c r="A16" s="7" t="str">
        <x:v>S014</x:v>
      </x:c>
      <x:c r="B16" s="7" t="str">
        <x:v>General hardware design / BGA PCB design / BGA decoupling</x:v>
      </x:c>
      <x:c r="C16" s="7" t="str">
        <x:v>Texas Instruments</x:v>
      </x:c>
      <x:c r="D16" s="7" t="str">
        <x:v>Application report PDF</x:v>
      </x:c>
      <x:c r="E16" s="7" t="str">
        <x:v>BGA decoupling, capacitor placement, practical layout</x:v>
      </x:c>
      <x:c r="F16" s="7" t="str">
        <x:v>https://www.ti.com/lit/pdf/sprabv2</x:v>
      </x:c>
      <x:c r="G16" s="7" t="str">
        <x:v>Public PDF; useful for high-pin-count IC decoupling constraints.</x:v>
      </x:c>
      <x:c r="H16" s="7" t="str">
        <x:v>Device/package assumptions may vary.</x:v>
      </x:c>
    </x:row>
    <x:row r="17">
      <x:c r="A17" s="7" t="str">
        <x:v>S015</x:v>
      </x:c>
      <x:c r="B17" s="7" t="str">
        <x:v>Methods of using low-ESL capacitors</x:v>
      </x:c>
      <x:c r="C17" s="7" t="str">
        <x:v>Murata</x:v>
      </x:c>
      <x:c r="D17" s="7" t="str">
        <x:v>Technical article</x:v>
      </x:c>
      <x:c r="E17" s="7" t="str">
        <x:v>Low ESL capacitors, MLCC geometry, 3-terminal capacitors</x:v>
      </x:c>
      <x:c r="F17" s="7" t="str">
        <x:v>https://article.murata.com/en-global/article/methods-of-using-low-esl-capacitors</x:v>
      </x:c>
      <x:c r="G17" s="7" t="str">
        <x:v>Public article; useful for capacitor package ESL rules.</x:v>
      </x:c>
      <x:c r="H17" s="7" t="str">
        <x:v>Vendor-specific product examples.</x:v>
      </x:c>
    </x:row>
    <x:row r="18">
      <x:c r="A18" s="7" t="str">
        <x:v>S016</x:v>
      </x:c>
      <x:c r="B18" s="7" t="str">
        <x:v>Noise Rejection Mechanism of 3-Terminal Capacitor</x:v>
      </x:c>
      <x:c r="C18" s="7" t="str">
        <x:v>Murata</x:v>
      </x:c>
      <x:c r="D18" s="7" t="str">
        <x:v>Technical article</x:v>
      </x:c>
      <x:c r="E18" s="7" t="str">
        <x:v>3-terminal capacitor, low ESL, feedthrough layout</x:v>
      </x:c>
      <x:c r="F18" s="7" t="str">
        <x:v>https://www.murata.com/products/capacitor/ceramiccapacitor/library/solution/3-terminal-capacitor</x:v>
      </x:c>
      <x:c r="G18" s="7" t="str">
        <x:v>Public page; useful for modeling feedthrough capacitors in filters.</x:v>
      </x:c>
      <x:c r="H18" s="7" t="str">
        <x:v>Use product impedance data for exact models.</x:v>
      </x:c>
    </x:row>
    <x:row r="19">
      <x:c r="A19" s="7" t="str">
        <x:v>S017</x:v>
      </x:c>
      <x:c r="B19" s="7" t="str">
        <x:v>Conducted emissions in DC-DC converters — simulation versus measurement</x:v>
      </x:c>
      <x:c r="C19" s="7" t="str">
        <x:v>Rohde &amp; Schwarz</x:v>
      </x:c>
      <x:c r="D19" s="7" t="str">
        <x:v>Application note / article</x:v>
      </x:c>
      <x:c r="E19" s="7" t="str">
        <x:v>Conducted emissions, DC/DC converters, role of parasitics, simulation correlation</x:v>
      </x:c>
      <x:c r="F19" s="7" t="str">
        <x:v>https://www.rohde-schwarz.com/nl/applications/conducted-emissions-in-dc-dc-converters-simulation-versus-measurement_56279-1125376.html</x:v>
      </x:c>
      <x:c r="G19" s="7" t="str">
        <x:v>Public page; useful for explaining that parasitics strongly affect EMI correlation.</x:v>
      </x:c>
      <x:c r="H19" s="7" t="str">
        <x:v>Do not promise lab correlation without measurement.</x:v>
      </x:c>
    </x:row>
    <x:row r="20">
      <x:c r="A20" s="7" t="str">
        <x:v>S018</x:v>
      </x:c>
      <x:c r="B20" s="7" t="str">
        <x:v>AN-991: Line Driving and System Design</x:v>
      </x:c>
      <x:c r="C20" s="7" t="str">
        <x:v>Texas Instruments / National Semiconductor</x:v>
      </x:c>
      <x:c r="D20" s="7" t="str">
        <x:v>Application note PDF</x:v>
      </x:c>
      <x:c r="E20" s="7" t="str">
        <x:v>Transmission line concepts, reflections, crosstalk, termination, cable/board interconnects</x:v>
      </x:c>
      <x:c r="F20" s="7" t="str">
        <x:v>https://www.ti.com/lit/pdf/snla043</x:v>
      </x:c>
      <x:c r="G20" s="7" t="str">
        <x:v>Public PDF; useful for fast communication line modeling.</x:v>
      </x:c>
      <x:c r="H20" s="7" t="str">
        <x:v>Older but fundamentals stable.</x:v>
      </x:c>
    </x:row>
    <x:row r="21">
      <x:c r="A21" s="7" t="str">
        <x:v>S019</x:v>
      </x:c>
      <x:c r="B21" s="7" t="str">
        <x:v>AN-808: Long Transmission Lines and Data Signal Quality</x:v>
      </x:c>
      <x:c r="C21" s="7" t="str">
        <x:v>Texas Instruments / National Semiconductor</x:v>
      </x:c>
      <x:c r="D21" s="7" t="str">
        <x:v>Application note PDF</x:v>
      </x:c>
      <x:c r="E21" s="7" t="str">
        <x:v>Transmission line L/C/R/G, cable effects, data signal quality</x:v>
      </x:c>
      <x:c r="F21" s="7" t="str">
        <x:v>https://www.ti.com/lit/pdf/snla028</x:v>
      </x:c>
      <x:c r="G21" s="7" t="str">
        <x:v>Public PDF; useful for cable and long-trace modeling.</x:v>
      </x:c>
      <x:c r="H21" s="7" t="str">
        <x:v>Use actual cable data where available.</x:v>
      </x:c>
    </x:row>
    <x:row r="22">
      <x:c r="A22" s="7" t="str">
        <x:v>S020</x:v>
      </x:c>
      <x:c r="B22" s="7" t="str">
        <x:v>Fundamentals of Electromagnetic Compliance</x:v>
      </x:c>
      <x:c r="C22" s="7" t="str">
        <x:v>Coilcraft</x:v>
      </x:c>
      <x:c r="D22" s="7" t="str">
        <x:v>Application note</x:v>
      </x:c>
      <x:c r="E22" s="7" t="str">
        <x:v>EMC fundamentals, filtering, component parasitics</x:v>
      </x:c>
      <x:c r="F22" s="7" t="str">
        <x:v>https://www.coilcraft.com/en-us/resources/application-notes/fundamentals-of-electromagnetic-compliance/</x:v>
      </x:c>
      <x:c r="G22" s="7" t="str">
        <x:v>Public application note; useful for EMC concepts and inductor selection context.</x:v>
      </x:c>
      <x:c r="H22" s="7" t="str">
        <x:v>Vendor perspective; cross-check with component impedance curves.</x:v>
      </x:c>
    </x:row>
    <x:row r="23">
      <x:c r="A23" s="7" t="str">
        <x:v>S021</x:v>
      </x:c>
      <x:c r="B23" s="7" t="str">
        <x:v>Taming Parasitics in Buck Converters Using a Snubber</x:v>
      </x:c>
      <x:c r="C23" s="7" t="str">
        <x:v>Analog Devices</x:v>
      </x:c>
      <x:c r="D23" s="7" t="str">
        <x:v>Technical article</x:v>
      </x:c>
      <x:c r="E23" s="7" t="str">
        <x:v>Buck converter ringing, LTspice, PCB parasitics, snubber estimation</x:v>
      </x:c>
      <x:c r="F23" s="7" t="str">
        <x:v>https://www.analog.com/en/resources/technical-articles/the-unseen-ring.html</x:v>
      </x:c>
      <x:c r="G23" s="7" t="str">
        <x:v>Public article; useful for SW-node parasitics and snubber workflow.</x:v>
      </x:c>
      <x:c r="H23" s="7" t="str">
        <x:v>Published 2026; verify device/context when used.</x:v>
      </x:c>
    </x:row>
    <x:row r="24">
      <x:c r="A24" s="7" t="str">
        <x:v>S022</x:v>
      </x:c>
      <x:c r="B24" s="7" t="str">
        <x:v>PCB layout guidelines to optimize power supply performance</x:v>
      </x:c>
      <x:c r="C24" s="7" t="str">
        <x:v>Texas Instruments</x:v>
      </x:c>
      <x:c r="D24" s="7" t="str">
        <x:v>Training PDF</x:v>
      </x:c>
      <x:c r="E24" s="7" t="str">
        <x:v>Power supply layout, parasitic inductance/capacitance/resistance, EMI</x:v>
      </x:c>
      <x:c r="F24" s="7" t="str">
        <x:v>https://www.ti.com/lit/ml/slyp762/slyp762.pdf</x:v>
      </x:c>
      <x:c r="G24" s="7" t="str">
        <x:v>Public PDF; practical supply-layout overview.</x:v>
      </x:c>
      <x:c r="H24" s="7" t="str">
        <x:v>Training deck; cite and summarize.</x:v>
      </x:c>
    </x:row>
    <x:row r="25">
      <x:c r="A25" s="7" t="str">
        <x:v>S023</x:v>
      </x:c>
      <x:c r="B25" s="7" t="str">
        <x:v>Layout Considerations for LMG5200 GaN Power Stage</x:v>
      </x:c>
      <x:c r="C25" s="7" t="str">
        <x:v>Texas Instruments</x:v>
      </x:c>
      <x:c r="D25" s="7" t="str">
        <x:v>Application report PDF</x:v>
      </x:c>
      <x:c r="E25" s="7" t="str">
        <x:v>GaN power stage layout, high di/dt loop inductance, placement</x:v>
      </x:c>
      <x:c r="F25" s="7" t="str">
        <x:v>https://www.ti.com/lit/pdf/snva729</x:v>
      </x:c>
      <x:c r="G25" s="7" t="str">
        <x:v>Public PDF; useful for high-speed switching power layouts.</x:v>
      </x:c>
      <x:c r="H25" s="7" t="str">
        <x:v>Specific to GaN power stage; use concepts broadly.</x:v>
      </x:c>
    </x:row>
    <x:row r="26">
      <x:c r="A26" s="7" t="str">
        <x:v>S024</x:v>
      </x:c>
      <x:c r="B26" s="7" t="str">
        <x:v>Embedded Microstrip Impedance Calculator</x:v>
      </x:c>
      <x:c r="C26" s="7" t="str">
        <x:v>Clemson CVEL</x:v>
      </x:c>
      <x:c r="D26" s="7" t="str">
        <x:v>Online calculator</x:v>
      </x:c>
      <x:c r="E26" s="7" t="str">
        <x:v>PCB transmission-line formulas, IPC-2251 ranges</x:v>
      </x:c>
      <x:c r="F26" s="7" t="str">
        <x:v>https://cecas.clemson.edu/cvel/emc/calculators/PCB-TL_Calculator/embedded.html</x:v>
      </x:c>
      <x:c r="G26" s="7" t="str">
        <x:v>Public calculator page; good for formula range/validity notes.</x:v>
      </x:c>
      <x:c r="H26" s="7" t="str">
        <x:v>Some formulas from draft documents; use for first pass.</x:v>
      </x:c>
    </x:row>
    <x:row r="27">
      <x:c r="A27" s="7" t="str">
        <x:v>S025</x:v>
      </x:c>
      <x:c r="B27" s="7" t="str">
        <x:v>Rectangular capacitor with edge effect calculator</x:v>
      </x:c>
      <x:c r="C27" s="7" t="str">
        <x:v>Chemandy Electronics</x:v>
      </x:c>
      <x:c r="D27" s="7" t="str">
        <x:v>Online calculator</x:v>
      </x:c>
      <x:c r="E27" s="7" t="str">
        <x:v>PCB layer capacitance, plane/polygon capacitance, edge effects</x:v>
      </x:c>
      <x:c r="F27" s="7" t="str">
        <x:v>https://chemandy.com/calculators/rectangular-capacitor-calculator.htm</x:v>
      </x:c>
      <x:c r="G27" s="7" t="str">
        <x:v>Public calculator; useful for PCB plane capacitance estimates.</x:v>
      </x:c>
      <x:c r="H27" s="7" t="str">
        <x:v>Calculator includes approximations; field solver for critical cases.</x:v>
      </x:c>
    </x:row>
    <x:row r="28">
      <x:c r="A28" s="7" t="str">
        <x:v>S026</x:v>
      </x:c>
      <x:c r="B28" s="7" t="str">
        <x:v>Flat Wire Inductor Calculator</x:v>
      </x:c>
      <x:c r="C28" s="7" t="str">
        <x:v>Chemandy Electronics</x:v>
      </x:c>
      <x:c r="D28" s="7" t="str">
        <x:v>Online calculator</x:v>
      </x:c>
      <x:c r="E28" s="7" t="str">
        <x:v>Trace / flat conductor inductance</x:v>
      </x:c>
      <x:c r="F28" s="7" t="str">
        <x:v>https://chemandy.com/calculators/flat-wire-inductor-calculator.htm</x:v>
      </x:c>
      <x:c r="G28" s="7" t="str">
        <x:v>Public calculator; useful for isolated trace inductance estimates.</x:v>
      </x:c>
      <x:c r="H28" s="7" t="str">
        <x:v>Free-space/isolated-conductor model overestimates when a close return plane exists.</x:v>
      </x:c>
    </x:row>
    <x:row r="29">
      <x:c r="A29" s="7" t="str">
        <x:v>S027</x:v>
      </x:c>
      <x:c r="B29" s="7" t="str">
        <x:v>PCB Trace Impedance Calculator IPC-2141</x:v>
      </x:c>
      <x:c r="C29" s="7" t="str">
        <x:v>DigiKey</x:v>
      </x:c>
      <x:c r="D29" s="7" t="str">
        <x:v>Online calculator</x:v>
      </x:c>
      <x:c r="E29" s="7" t="str">
        <x:v>Microstrip/stripline impedance, IPC-2141</x:v>
      </x:c>
      <x:c r="F29" s="7" t="str">
        <x:v>https://www.digikey.com/en/resources/conversion-calculators/conversion-calculator-pcb-trace-impedance</x:v>
      </x:c>
      <x:c r="G29" s="7" t="str">
        <x:v>Public calculator; useful as sanity check for IPC-2141 impedance.</x:v>
      </x:c>
      <x:c r="H29" s="7" t="str">
        <x:v>Validate with fabricator for controlled impedance.</x:v>
      </x:c>
    </x:row>
    <x:row r="30">
      <x:c r="A30" s="7" t="str">
        <x:v>S028</x:v>
      </x:c>
      <x:c r="B30" s="7" t="str">
        <x:v>PCB Trace Inductance Calculation: How Wide is Too Wide?</x:v>
      </x:c>
      <x:c r="C30" s="7" t="str">
        <x:v>Altium</x:v>
      </x:c>
      <x:c r="D30" s="7" t="str">
        <x:v>Technical article</x:v>
      </x:c>
      <x:c r="E30" s="7" t="str">
        <x:v>Trace inductance, impedance, width, formulas</x:v>
      </x:c>
      <x:c r="F30" s="7" t="str">
        <x:v>https://resources.altium.com/p/pcb-trace-inductance-and-width-how-wide-too-wide</x:v>
      </x:c>
      <x:c r="G30" s="7" t="str">
        <x:v>Public article; useful commentary on Waddell vs IPC-2141 and transmission-line method.</x:v>
      </x:c>
      <x:c r="H30" s="7" t="str">
        <x:v>Vendor blog; use authoritative calculators/data for final numbers.</x:v>
      </x:c>
    </x:row>
    <x:row r="31">
      <x:c r="A31" s="7" t="str">
        <x:v>S029</x:v>
      </x:c>
      <x:c r="B31" s="7" t="str">
        <x:v>Design for EMC 2026</x:v>
      </x:c>
      <x:c r="C31" s="7" t="str">
        <x:v>Würth Elektronik</x:v>
      </x:c>
      <x:c r="D31" s="7" t="str">
        <x:v>Public PDF / slides</x:v>
      </x:c>
      <x:c r="E31" s="7" t="str">
        <x:v>EMC design, transformer parasitics, radiated/conducted considerations</x:v>
      </x:c>
      <x:c r="F31" s="7" t="str">
        <x:v>https://www.we-online.com/files/pdf1/03.-design-for-emc-2026.pdf</x:v>
      </x:c>
      <x:c r="G31" s="7" t="str">
        <x:v>Public training PDF; useful for later radiated/transformer parasitics extension.</x:v>
      </x:c>
      <x:c r="H31" s="7" t="str">
        <x:v>Training material; check release/version before referencing.</x:v>
      </x:c>
    </x:row>
    <x:row r="32">
      <x:c r="A32" s="7" t="str">
        <x:v>S030</x:v>
      </x:c>
      <x:c r="B32" s="7" t="str">
        <x:v>AN-202: An IC Amplifier User's Guide to Decoupling, Grounding, and Making Things Go Right</x:v>
      </x:c>
      <x:c r="C32" s="7" t="str">
        <x:v>Analog Devices</x:v>
      </x:c>
      <x:c r="D32" s="7" t="str">
        <x:v>Application note PDF</x:v>
      </x:c>
      <x:c r="E32" s="7" t="str">
        <x:v>Grounding, decoupling, common impedance, analog layout</x:v>
      </x:c>
      <x:c r="F32" s="7" t="str">
        <x:v>https://www.analog.com/media/en/technical-documentation/application-notes/AN-202.pdf</x:v>
      </x:c>
      <x:c r="G32" s="7" t="str">
        <x:v>Public app note; useful for common-impedance coupling examples.</x:v>
      </x:c>
      <x:c r="H32" s="7" t="str">
        <x:v>Analog focus; still useful as physical principle.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043c13d95ff446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</x:cols>
  <x:sheetData>
    <x:row r="1" ht="26" customHeight="1">
      <x:c r="A1" s="12" t="str">
        <x:v>Agent roles for parasitic-aware LTspice/EMC workflow</x:v>
      </x:c>
      <x:c r="B1" t="str"/>
      <x:c r="C1" t="str"/>
      <x:c r="D1" t="str"/>
      <x:c r="E1" t="str"/>
    </x:row>
    <x:row r="2">
      <x:c r="A2" s="20" t="str">
        <x:v>Agent_ID</x:v>
      </x:c>
      <x:c r="B2" s="20" t="str">
        <x:v>Agent_mode</x:v>
      </x:c>
      <x:c r="C2" s="20" t="str">
        <x:v>Purpose</x:v>
      </x:c>
      <x:c r="D2" s="20" t="str">
        <x:v>Inputs</x:v>
      </x:c>
      <x:c r="E2" s="20" t="str">
        <x:v>Guardrails</x:v>
      </x:c>
    </x:row>
    <x:row r="3">
      <x:c r="A3" s="7" t="str">
        <x:v>A001</x:v>
      </x:c>
      <x:c r="B3" s="7" t="str">
        <x:v>Geometry extractor</x:v>
      </x:c>
      <x:c r="C3" s="7" t="str">
        <x:v>Reads PCB geometry/stack-up/BOM and creates structured dimensions: widths, lengths, clearances, plane distances, via barrels, polygon areas.</x:v>
      </x:c>
      <x:c r="D3" s="7" t="str">
        <x:v>KiCad/Altium/Gerber/IPC-2581/ODB++ later; manual CSV for MVP</x:v>
      </x:c>
      <x:c r="E3" s="7" t="str">
        <x:v>Do not infer hidden layer distances without stack-up; ask or use stated defaults.</x:v>
      </x:c>
    </x:row>
    <x:row r="4">
      <x:c r="A4" s="7" t="str">
        <x:v>A002</x:v>
      </x:c>
      <x:c r="B4" s="7" t="str">
        <x:v>Parasitic proposer</x:v>
      </x:c>
      <x:c r="C4" s="7" t="str">
        <x:v>Maps structures to R/L/C ranges and formulas, then proposes LTspice parameters with uncertainty.</x:v>
      </x:c>
      <x:c r="D4" s="7" t="str">
        <x:v>Rules R001–R090 + recipes C001–C025</x:v>
      </x:c>
      <x:c r="E4" s="7" t="str">
        <x:v>Always emit assumptions, units, and min/typ/max.</x:v>
      </x:c>
    </x:row>
    <x:row r="5">
      <x:c r="A5" s="7" t="str">
        <x:v>A003</x:v>
      </x:c>
      <x:c r="B5" s="7" t="str">
        <x:v>LTspice injector</x:v>
      </x:c>
      <x:c r="C5" s="7" t="str">
        <x:v>Creates .param, subcircuits, parasitic ladders, and .step sweeps for selected nets.</x:v>
      </x:c>
      <x:c r="D5" s="7" t="str">
        <x:v>Netlist/.asc templates</x:v>
      </x:c>
      <x:c r="E5" s="7" t="str">
        <x:v>Keep original schematic logically intact; insert parasitic blocks with labels.</x:v>
      </x:c>
    </x:row>
    <x:row r="6">
      <x:c r="A6" s="7" t="str">
        <x:v>A004</x:v>
      </x:c>
      <x:c r="B6" s="7" t="str">
        <x:v>EMI workflow agent</x:v>
      </x:c>
      <x:c r="C6" s="7" t="str">
        <x:v>Builds conducted EMI setup: LISN, CM/DM probes, filters, cable models, source/load impedance.</x:v>
      </x:c>
      <x:c r="D6" s="7" t="str">
        <x:v>ADI LTspice EMC workflow, user BOM</x:v>
      </x:c>
      <x:c r="E6" s="7" t="str">
        <x:v>Pre-compliance only; no guarantee of CISPR/IEC pass.</x:v>
      </x:c>
    </x:row>
    <x:row r="7">
      <x:c r="A7" s="7" t="str">
        <x:v>A005</x:v>
      </x:c>
      <x:c r="B7" s="7" t="str">
        <x:v>Sanity checker</x:v>
      </x:c>
      <x:c r="C7" s="7" t="str">
        <x:v>Checks formulas and estimates for physical plausibility: resonance, unit errors, huge L/C, missing return path.</x:v>
      </x:c>
      <x:c r="D7" s="7" t="str">
        <x:v>Internal consistency + rule ranges</x:v>
      </x:c>
      <x:c r="E7" s="7" t="str">
        <x:v>Flag unrealistic exactness and missing layout assumptions.</x:v>
      </x:c>
    </x:row>
    <x:row r="8">
      <x:c r="A8" s="7" t="str">
        <x:v>A006</x:v>
      </x:c>
      <x:c r="B8" s="7" t="str">
        <x:v>Report writer</x:v>
      </x:c>
      <x:c r="C8" s="7" t="str">
        <x:v>Produces human-readable report: before/after, dominant parasitics, suggested layout changes, sensitivity results.</x:v>
      </x:c>
      <x:c r="D8" s="7" t="str">
        <x:v>Simulation results and rules</x:v>
      </x:c>
      <x:c r="E8" s="7" t="str">
        <x:v>Separate calculation from design recommendation; cite sources.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e7fbab5f3ad4d7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</x:cols>
  <x:sheetData>
    <x:row r="1" ht="26" customHeight="1">
      <x:c r="A1" s="12" t="str">
        <x:v>Guardrails for safe, honest parasitic estimation</x:v>
      </x:c>
      <x:c r="B1" t="str"/>
      <x:c r="C1" t="str"/>
    </x:row>
    <x:row r="2">
      <x:c r="A2" s="20" t="str">
        <x:v>Guardrail_ID</x:v>
      </x:c>
      <x:c r="B2" s="20" t="str">
        <x:v>Name</x:v>
      </x:c>
      <x:c r="C2" s="20" t="str">
        <x:v>Rule</x:v>
      </x:c>
    </x:row>
    <x:row r="3">
      <x:c r="A3" s="7" t="str">
        <x:v>G001</x:v>
      </x:c>
      <x:c r="B3" s="7" t="str">
        <x:v>No exactness without geometry</x:v>
      </x:c>
      <x:c r="C3" s="7" t="str">
        <x:v>If stack-up, trace length/width, return plane, via geometry or cable type are unknown, output ranges and sensitivity sweeps, not exact values.</x:v>
      </x:c>
    </x:row>
    <x:row r="4">
      <x:c r="A4" s="7" t="str">
        <x:v>G002</x:v>
      </x:c>
      <x:c r="B4" s="7" t="str">
        <x:v>Use production stack-up</x:v>
      </x:c>
      <x:c r="C4" s="7" t="str">
        <x:v>For controlled impedance and parasitics, use the fabricator's finished stack-up, dielectric thickness, Er/Df and copper data; generic FR-4 is only for early estimates.</x:v>
      </x:c>
    </x:row>
    <x:row r="5">
      <x:c r="A5" s="7" t="str">
        <x:v>G003</x:v>
      </x:c>
      <x:c r="B5" s="7" t="str">
        <x:v>Prefer vendor models</x:v>
      </x:c>
      <x:c r="C5" s="7" t="str">
        <x:v>For MLCCs, ferrites, inductors, CM chokes and EMI filters, use vendor impedance/SPICE/S-parameter models when possible; rules of thumb are fallbacks.</x:v>
      </x:c>
    </x:row>
    <x:row r="6">
      <x:c r="A6" s="7" t="str">
        <x:v>G004</x:v>
      </x:c>
      <x:c r="B6" s="7" t="str">
        <x:v>Do not certify EMC</x:v>
      </x:c>
      <x:c r="C6" s="7" t="str">
        <x:v>The tool supports pre-compliance and risk reduction. It must not state that a design will pass CISPR/IEC/EN tests.</x:v>
      </x:c>
    </x:row>
    <x:row r="7">
      <x:c r="A7" s="7" t="str">
        <x:v>G005</x:v>
      </x:c>
      <x:c r="B7" s="7" t="str">
        <x:v>Separate safety from EMC</x:v>
      </x:c>
      <x:c r="C7" s="7" t="str">
        <x:v>For AC/DC and mains, creepage/clearance/safety are separate compliance requirements and must be checked against legal standards.</x:v>
      </x:c>
    </x:row>
    <x:row r="8">
      <x:c r="A8" s="7" t="str">
        <x:v>G006</x:v>
      </x:c>
      <x:c r="B8" s="7" t="str">
        <x:v>Escalate above lumped validity</x:v>
      </x:c>
      <x:c r="C8" s="7" t="str">
        <x:v>At high frequencies or long structures, switch from lumped RLC to transmission-line, S-parameter or field-solver models.</x:v>
      </x:c>
    </x:row>
    <x:row r="9">
      <x:c r="A9" s="7" t="str">
        <x:v>G007</x:v>
      </x:c>
      <x:c r="B9" s="7" t="str">
        <x:v>Always include uncertainty</x:v>
      </x:c>
      <x:c r="C9" s="7" t="str">
        <x:v>Every proposed parasitic value should include min/typ/max or confidence. Default uncertainty at least ±2× for guessed layout parasitics.</x:v>
      </x:c>
    </x:row>
    <x:row r="10">
      <x:c r="A10" s="7" t="str">
        <x:v>G008</x:v>
      </x:c>
      <x:c r="B10" s="7" t="str">
        <x:v>Model return path explicitly</x:v>
      </x:c>
      <x:c r="C10" s="7" t="str">
        <x:v>Inductance is loop inductance, not just trace inductance. Always identify the return current path.</x:v>
      </x:c>
    </x:row>
    <x:row r="11">
      <x:c r="A11" s="7" t="str">
        <x:v>G009</x:v>
      </x:c>
      <x:c r="B11" s="7" t="str">
        <x:v>Use sensitivity sweeps</x:v>
      </x:c>
      <x:c r="C11" s="7" t="str">
        <x:v>For EMI, a single guessed parasitic value is insufficient. Generate .step sweeps and report which assumptions dominate results.</x:v>
      </x:c>
    </x:row>
    <x:row r="12">
      <x:c r="A12" s="7" t="str">
        <x:v>G010</x:v>
      </x:c>
      <x:c r="B12" s="7" t="str">
        <x:v>Use measurements to calibrate</x:v>
      </x:c>
      <x:c r="C12" s="7" t="str">
        <x:v>When waveform ringing or EMI scan data exists, fit parasitic values and update the default model.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bb9c506c90d842a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6" customHeight="1">
      <x:c r="A1" s="12" t="str">
        <x:v>Coverage map for requested topics</x:v>
      </x:c>
      <x:c r="B1" t="str"/>
      <x:c r="C1" t="str"/>
    </x:row>
    <x:row r="2">
      <x:c r="A2" s="20" t="str">
        <x:v>User_topic</x:v>
      </x:c>
      <x:c r="B2" s="20" t="str">
        <x:v>KB_sections</x:v>
      </x:c>
      <x:c r="C2" s="20" t="str">
        <x:v>Coverage_notes</x:v>
      </x:c>
    </x:row>
    <x:row r="3">
      <x:c r="A3" s="7" t="str">
        <x:v>Rule of thumbs dla schematów</x:v>
      </x:c>
      <x:c r="B3" s="7" t="str">
        <x:v>Rules R061-R064, R070-R072, recipes C020-C022</x:v>
      </x:c>
      <x:c r="C3" s="7" t="str">
        <x:v>Covers non-ideal components and CM/DM EMI schematic modeling.</x:v>
      </x:c>
    </x:row>
    <x:row r="4">
      <x:c r="A4" s="7" t="str">
        <x:v>Stack-up</x:v>
      </x:c>
      <x:c r="B4" s="7" t="str">
        <x:v>Rules R058-R060, R082, R089, recipes C004-C008</x:v>
      </x:c>
      <x:c r="C4" s="7" t="str">
        <x:v>Covers layer spacing, planes, impedance, return path and production stack-up data.</x:v>
      </x:c>
    </x:row>
    <x:row r="5">
      <x:c r="A5" s="7" t="str">
        <x:v>Filtrowanie zasilania</x:v>
      </x:c>
      <x:c r="B5" s="7" t="str">
        <x:v>Rules R024-R025, R070-R072, recipes C020-C022</x:v>
      </x:c>
      <x:c r="C5" s="7" t="str">
        <x:v>Covers LC filters, ferrites, damping and capacitor parasitics.</x:v>
      </x:c>
    </x:row>
    <x:row r="6">
      <x:c r="A6" s="7" t="str">
        <x:v>Kondensatory odsprzęgające</x:v>
      </x:c>
      <x:c r="B6" s="7" t="str">
        <x:v>Rules R019-R025, R057, recipes C010-C012, C020</x:v>
      </x:c>
      <x:c r="C6" s="7" t="str">
        <x:v>Covers mounted ESL, via/pad geometry, anti-resonance and target impedance.</x:v>
      </x:c>
    </x:row>
    <x:row r="7">
      <x:c r="A7" s="7" t="str">
        <x:v>Modelowanie pasożytów kabli i ścieżek</x:v>
      </x:c>
      <x:c r="B7" s="7" t="str">
        <x:v>Rules R001-R018, R035-R040, recipes C001-C017</x:v>
      </x:c>
      <x:c r="C7" s="7" t="str">
        <x:v>Covers trace R/L/C, transmission-line L/C, vias and cable models.</x:v>
      </x:c>
    </x:row>
    <x:row r="8">
      <x:c r="A8" s="7" t="str">
        <x:v>Przetwornice DC/DC</x:v>
      </x:c>
      <x:c r="B8" s="7" t="str">
        <x:v>Rules R026-R030, R076, recipes C018-C019</x:v>
      </x:c>
      <x:c r="C8" s="7" t="str">
        <x:v>Covers hot loops, SW polygons, gate loops, sense pickup and snubbers.</x:v>
      </x:c>
    </x:row>
    <x:row r="9">
      <x:c r="A9" s="7" t="str">
        <x:v>Szybkie sygnały komunikacyjne</x:v>
      </x:c>
      <x:c r="B9" s="7" t="str">
        <x:v>Rules R041-R047, R079-R082, recipes C004-C006, C016</x:v>
      </x:c>
      <x:c r="C9" s="7" t="str">
        <x:v>Covers TL threshold, delays, diff pairs, terminations and reference changes.</x:v>
      </x:c>
    </x:row>
    <x:row r="10">
      <x:c r="A10" s="7" t="str">
        <x:v>Zasilanie AC/DC</x:v>
      </x:c>
      <x:c r="B10" s="7" t="str">
        <x:v>Rules R031-R034, R090</x:v>
      </x:c>
      <x:c r="C10" s="7" t="str">
        <x:v>Covers interwinding capacitance, Y-cap path, mains loops and safety guardrail.</x:v>
      </x:c>
    </x:row>
    <x:row r="11">
      <x:c r="A11" s="7" t="str">
        <x:v>Odsprzęganie</x:v>
      </x:c>
      <x:c r="B11" s="7" t="str">
        <x:v>Rules R019-R025, R057, R061, recipes C020</x:v>
      </x:c>
      <x:c r="C11" s="7" t="str">
        <x:v>Covers local decoupling, capacitors, ESR/ESL and planes.</x:v>
      </x:c>
    </x:row>
    <x:row r="12">
      <x:c r="A12" s="7" t="str">
        <x:v>Wymagania produkcyjne PCB</x:v>
      </x:c>
      <x:c r="B12" s="7" t="str">
        <x:v>Rules R053-R057, R089-R090</x:v>
      </x:c>
      <x:c r="C12" s="7" t="str">
        <x:v>Covers controlled impedance, copper thickness, soldermask, thermal relief and safety boundaries.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a2bdcce5b6eb4a5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2" hidden="0" customWidth="1"/>
    <x:col min="4" max="4" width="44" hidden="0" customWidth="1"/>
    <x:col min="5" max="5" width="18" hidden="0" customWidth="1"/>
  </x:cols>
  <x:sheetData>
    <x:row r="1" ht="28" customHeight="1">
      <x:c r="A1" s="10" t="str">
        <x:v>First-pass PCB parasitic calculator — values are estimates; sweep them in LTspice</x:v>
      </x:c>
    </x:row>
    <x:row r="3">
      <x:c r="A3" s="19" t="str">
        <x:v>Input</x:v>
      </x:c>
      <x:c r="B3" s="19" t="str">
        <x:v>Value</x:v>
      </x:c>
      <x:c r="C3" s="19" t="str">
        <x:v>Unit</x:v>
      </x:c>
      <x:c r="D3" s="19" t="str">
        <x:v>Notes</x:v>
      </x:c>
      <x:c r="E3" s="19" t="str">
        <x:v>Source/Recipe</x:v>
      </x:c>
    </x:row>
    <x:row r="4">
      <x:c r="A4" s="7" t="str">
        <x:v>Trace length</x:v>
      </x:c>
      <x:c r="B4" s="7" t="n">
        <x:v>25</x:v>
      </x:c>
      <x:c r="C4" s="7" t="str">
        <x:v>mm</x:v>
      </x:c>
      <x:c r="D4" s="7" t="str">
        <x:v>Copper path length</x:v>
      </x:c>
      <x:c r="E4" s="7" t="str">
        <x:v>C001/C009</x:v>
      </x:c>
    </x:row>
    <x:row r="5">
      <x:c r="A5" s="7" t="str">
        <x:v>Trace width</x:v>
      </x:c>
      <x:c r="B5" s="7" t="n">
        <x:v>0.5</x:v>
      </x:c>
      <x:c r="C5" s="7" t="str">
        <x:v>mm</x:v>
      </x:c>
      <x:c r="D5" s="7" t="str">
        <x:v>Narrowest effective width</x:v>
      </x:c>
      <x:c r="E5" s="7" t="str">
        <x:v>C001/C009</x:v>
      </x:c>
    </x:row>
    <x:row r="6">
      <x:c r="A6" s="7" t="str">
        <x:v>Copper thickness</x:v>
      </x:c>
      <x:c r="B6" s="7" t="n">
        <x:v>35</x:v>
      </x:c>
      <x:c r="C6" s="7" t="str">
        <x:v>µm</x:v>
      </x:c>
      <x:c r="D6" s="7" t="str">
        <x:v>Finished copper; 35µm≈1oz</x:v>
      </x:c>
      <x:c r="E6" s="7" t="str">
        <x:v>C001</x:v>
      </x:c>
    </x:row>
    <x:row r="7">
      <x:c r="A7" s="7" t="str">
        <x:v>Trace height to return plane</x:v>
      </x:c>
      <x:c r="B7" s="7" t="n">
        <x:v>0.2</x:v>
      </x:c>
      <x:c r="C7" s="7" t="str">
        <x:v>mm</x:v>
      </x:c>
      <x:c r="D7" s="7" t="str">
        <x:v>Dielectric distance to reference plane</x:v>
      </x:c>
      <x:c r="E7" s="7" t="str">
        <x:v>C004-C006</x:v>
      </x:c>
    </x:row>
    <x:row r="8">
      <x:c r="A8" s="7" t="str">
        <x:v>Relative permittivity εr</x:v>
      </x:c>
      <x:c r="B8" s="7" t="n">
        <x:v>4.2</x:v>
      </x:c>
      <x:c r="C8" s="7" t="str">
        <x:v>-</x:v>
      </x:c>
      <x:c r="D8" s="7" t="str">
        <x:v>FR-4 rough value; use fab data</x:v>
      </x:c>
      <x:c r="E8" s="7" t="str">
        <x:v>C004-C008</x:v>
      </x:c>
    </x:row>
    <x:row r="9">
      <x:c r="A9" s="7" t="str">
        <x:v>Assumed Z0</x:v>
      </x:c>
      <x:c r="B9" s="7" t="n">
        <x:v>50</x:v>
      </x:c>
      <x:c r="C9" s="7" t="str">
        <x:v>Ω</x:v>
      </x:c>
      <x:c r="D9" s="7" t="str">
        <x:v>Use impedance calculator when possible</x:v>
      </x:c>
      <x:c r="E9" s="7" t="str">
        <x:v>C005</x:v>
      </x:c>
    </x:row>
    <x:row r="10">
      <x:c r="A10" s="7" t="str">
        <x:v>Assumed delay</x:v>
      </x:c>
      <x:c r="B10" s="7" t="n">
        <x:v>60</x:v>
      </x:c>
      <x:c r="C10" s="7" t="str">
        <x:v>ps/cm</x:v>
      </x:c>
      <x:c r="D10" s="7" t="str">
        <x:v>Use stack-up/TL calculator</x:v>
      </x:c>
      <x:c r="E10" s="7" t="str">
        <x:v>C005-C006</x:v>
      </x:c>
    </x:row>
    <x:row r="11">
      <x:c r="A11" s="7" t="str">
        <x:v>Via barrel length</x:v>
      </x:c>
      <x:c r="B11" s="7" t="n">
        <x:v>1.6</x:v>
      </x:c>
      <x:c r="C11" s="7" t="str">
        <x:v>mm</x:v>
      </x:c>
      <x:c r="D11" s="7" t="str">
        <x:v>Through via length</x:v>
      </x:c>
      <x:c r="E11" s="7" t="str">
        <x:v>C010</x:v>
      </x:c>
    </x:row>
    <x:row r="12">
      <x:c r="A12" s="7" t="str">
        <x:v>Via drill diameter</x:v>
      </x:c>
      <x:c r="B12" s="7" t="n">
        <x:v>0.3</x:v>
      </x:c>
      <x:c r="C12" s="7" t="str">
        <x:v>mm</x:v>
      </x:c>
      <x:c r="D12" s="7" t="str">
        <x:v>Finished drill</x:v>
      </x:c>
      <x:c r="E12" s="7" t="str">
        <x:v>C010</x:v>
      </x:c>
    </x:row>
    <x:row r="13">
      <x:c r="A13" s="7" t="str">
        <x:v>Via pad diameter</x:v>
      </x:c>
      <x:c r="B13" s="7" t="n">
        <x:v>0.6</x:v>
      </x:c>
      <x:c r="C13" s="7" t="str">
        <x:v>mm</x:v>
      </x:c>
      <x:c r="D13" s="7" t="str">
        <x:v>Pad outer diameter</x:v>
      </x:c>
      <x:c r="E13" s="7" t="str">
        <x:v>C011</x:v>
      </x:c>
    </x:row>
    <x:row r="14">
      <x:c r="A14" s="7" t="str">
        <x:v>Via antipad diameter</x:v>
      </x:c>
      <x:c r="B14" s="7" t="n">
        <x:v>1</x:v>
      </x:c>
      <x:c r="C14" s="7" t="str">
        <x:v>mm</x:v>
      </x:c>
      <x:c r="D14" s="7" t="str">
        <x:v>Clearance diameter</x:v>
      </x:c>
      <x:c r="E14" s="7" t="str">
        <x:v>C011</x:v>
      </x:c>
    </x:row>
    <x:row r="15">
      <x:c r="A15" s="7" t="str">
        <x:v>Polygon/plane overlap area</x:v>
      </x:c>
      <x:c r="B15" s="7" t="n">
        <x:v>2500</x:v>
      </x:c>
      <x:c r="C15" s="7" t="str">
        <x:v>mm²</x:v>
      </x:c>
      <x:c r="D15" s="7" t="str">
        <x:v>Example 50×50mm overlap</x:v>
      </x:c>
      <x:c r="E15" s="7" t="str">
        <x:v>C007</x:v>
      </x:c>
    </x:row>
    <x:row r="16">
      <x:c r="A16" s="7" t="str">
        <x:v>Plane/polygon dielectric spacing</x:v>
      </x:c>
      <x:c r="B16" s="7" t="n">
        <x:v>0.1</x:v>
      </x:c>
      <x:c r="C16" s="7" t="str">
        <x:v>mm</x:v>
      </x:c>
      <x:c r="D16" s="7" t="str">
        <x:v>Power-ground or polygon-plane distance</x:v>
      </x:c>
      <x:c r="E16" s="7" t="str">
        <x:v>C007-C008</x:v>
      </x:c>
    </x:row>
    <x:row r="17">
      <x:c r="A17" s="7" t="str">
        <x:v>Plane current path length</x:v>
      </x:c>
      <x:c r="B17" s="7" t="n">
        <x:v>50</x:v>
      </x:c>
      <x:c r="C17" s="7" t="str">
        <x:v>mm</x:v>
      </x:c>
      <x:c r="D17" s="7" t="str">
        <x:v>For plane pair L estimate</x:v>
      </x:c>
      <x:c r="E17" s="7" t="str">
        <x:v>C008</x:v>
      </x:c>
    </x:row>
    <x:row r="18">
      <x:c r="A18" s="7" t="str">
        <x:v>Plane current path width</x:v>
      </x:c>
      <x:c r="B18" s="7" t="n">
        <x:v>50</x:v>
      </x:c>
      <x:c r="C18" s="7" t="str">
        <x:v>mm</x:v>
      </x:c>
      <x:c r="D18" s="7" t="str">
        <x:v>For plane pair L estimate</x:v>
      </x:c>
      <x:c r="E18" s="7" t="str">
        <x:v>C008</x:v>
      </x:c>
    </x:row>
    <x:row r="19">
      <x:c r="A19" s="7" t="str">
        <x:v>Cable length</x:v>
      </x:c>
      <x:c r="B19" s="7" t="n">
        <x:v>1</x:v>
      </x:c>
      <x:c r="C19" s="7" t="str">
        <x:v>m</x:v>
      </x:c>
      <x:c r="D19" s="7" t="str">
        <x:v>External cable length</x:v>
      </x:c>
      <x:c r="E19" s="7" t="str">
        <x:v>C016-C017</x:v>
      </x:c>
    </x:row>
    <x:row r="20">
      <x:c r="A20" s="7" t="str">
        <x:v>Cable inductance per meter</x:v>
      </x:c>
      <x:c r="B20" s="7" t="n">
        <x:v>0.59</x:v>
      </x:c>
      <x:c r="C20" s="7" t="str">
        <x:v>µH/m</x:v>
      </x:c>
      <x:c r="D20" s="7" t="str">
        <x:v>Belden 8760 example</x:v>
      </x:c>
      <x:c r="E20" s="7" t="str">
        <x:v>R036</x:v>
      </x:c>
    </x:row>
    <x:row r="21">
      <x:c r="A21" s="7" t="str">
        <x:v>Cable capacitance per meter</x:v>
      </x:c>
      <x:c r="B21" s="7" t="n">
        <x:v>89.2</x:v>
      </x:c>
      <x:c r="C21" s="7" t="str">
        <x:v>pF/m</x:v>
      </x:c>
      <x:c r="D21" s="7" t="str">
        <x:v>Belden 8760 example</x:v>
      </x:c>
      <x:c r="E21" s="7" t="str">
        <x:v>R036</x:v>
      </x:c>
    </x:row>
    <x:row r="22">
      <x:c r="A22" s="7" t="str">
        <x:v>Test frequency</x:v>
      </x:c>
      <x:c r="B22" s="7" t="n">
        <x:v>30</x:v>
      </x:c>
      <x:c r="C22" s="7" t="str">
        <x:v>MHz</x:v>
      </x:c>
      <x:c r="D22" s="7" t="str">
        <x:v>For reactance and skin depth</x:v>
      </x:c>
      <x:c r="E22" s="7" t="str">
        <x:v>C003</x:v>
      </x:c>
    </x:row>
    <x:row r="23">
      <x:c r="A23" s="7" t="str">
        <x:v>Capacitance to resonate with</x:v>
      </x:c>
      <x:c r="B23" s="7" t="n">
        <x:v>100</x:v>
      </x:c>
      <x:c r="C23" s="7" t="str">
        <x:v>pF</x:v>
      </x:c>
      <x:c r="D23" s="7" t="str">
        <x:v>For f resonance check</x:v>
      </x:c>
      <x:c r="E23" s="7" t="str">
        <x:v>C012</x:v>
      </x:c>
    </x:row>
    <x:row r="26">
      <x:c r="A26" s="19" t="str">
        <x:v>Output</x:v>
      </x:c>
      <x:c r="B26" s="19" t="str">
        <x:v>Formula / Excel calculation</x:v>
      </x:c>
      <x:c r="C26" s="19" t="str">
        <x:v>Value</x:v>
      </x:c>
      <x:c r="D26" s="19" t="str">
        <x:v>Unit</x:v>
      </x:c>
      <x:c r="E26" s="19" t="str">
        <x:v>Interpretation</x:v>
      </x:c>
    </x:row>
    <x:row r="27">
      <x:c r="A27" s="7" t="str">
        <x:v>Copper sheet resistance</x:v>
      </x:c>
      <x:c r="B27" s="7" t="str">
        <x:v>=(1.724E-8)/(B6*1E-6)*1000</x:v>
      </x:c>
      <x:c r="C27" s="26" t="n">
        <x:f>(1.724E-8)/(B6*1E-6)*1000</x:f>
        <x:v>0.4925714285714286</x:v>
      </x:c>
      <x:c r="D27" s="7" t="str">
        <x:v>mΩ/sq</x:v>
      </x:c>
      <x:c r="E27" s="7" t="str">
        <x:v>1 oz copper should be ≈0.49 mΩ/sq</x:v>
      </x:c>
    </x:row>
    <x:row r="28">
      <x:c r="A28" s="7" t="str">
        <x:v>Trace DC resistance</x:v>
      </x:c>
      <x:c r="B28" s="7" t="str">
        <x:v>=(1.724E-8*(B4*1E-3)/(B5*1E-3*B6*1E-6))*1000</x:v>
      </x:c>
      <x:c r="C28" s="26" t="n">
        <x:f>(1.724E-8*(B4*1E-3)/(B5*1E-3*B6*1E-6))*1000</x:f>
        <x:v>24.62857142857143</x:v>
      </x:c>
      <x:c r="D28" s="7" t="str">
        <x:v>mΩ</x:v>
      </x:c>
      <x:c r="E28" s="7" t="str">
        <x:v>Use narrowest width / effective length</x:v>
      </x:c>
    </x:row>
    <x:row r="29">
      <x:c r="A29" s="7" t="str">
        <x:v>Skin depth at test frequency</x:v>
      </x:c>
      <x:c r="B29" s="7" t="str">
        <x:v>=66/SQRT(B22)</x:v>
      </x:c>
      <x:c r="C29" s="26" t="n">
        <x:f>66/SQRT(B22)</x:f>
        <x:v>12.049896265113654</x:v>
      </x:c>
      <x:c r="D29" s="7" t="str">
        <x:v>µm</x:v>
      </x:c>
      <x:c r="E29" s="7" t="str">
        <x:v>If smaller than copper thickness, AC resistance rises</x:v>
      </x:c>
    </x:row>
    <x:row r="30">
      <x:c r="A30" s="7" t="str">
        <x:v>Isolated trace inductance</x:v>
      </x:c>
      <x:c r="B30" s="7" t="str">
        <x:v>=0.002*B4*(LN(2*B4/(B5+B6/1000))+0.5+0.2235*(B5+B6/1000)/B4)</x:v>
      </x:c>
      <x:c r="C30" s="26" t="n">
        <x:f>0.002*B4*(LN(2*B4/(B5+B6/1000))+0.5+0.2235*(B5+B6/1000)/B4)</x:f>
        <x:v>0.2521147218757138</x:v>
      </x:c>
      <x:c r="D30" s="7" t="str">
        <x:v>nH</x:v>
      </x:c>
      <x:c r="E30" s="7" t="str">
        <x:v>Upper-bound-ish when no close return plane exists</x:v>
      </x:c>
    </x:row>
    <x:row r="31">
      <x:c r="A31" s="7" t="str">
        <x:v>TL trace inductance from Z0/delay</x:v>
      </x:c>
      <x:c r="B31" s="7" t="str">
        <x:v>=B9*(B10*1E-12/0.01)*B4*1E9/1000</x:v>
      </x:c>
      <x:c r="C31" s="26" t="n">
        <x:f>B9*(B10*1E-12/0.01)*B4*1E9/1000</x:f>
        <x:v>7.499999999999999</x:v>
      </x:c>
      <x:c r="D31" s="7" t="str">
        <x:v>nH</x:v>
      </x:c>
      <x:c r="E31" s="7" t="str">
        <x:v>Preferred when trace has a defined return plane</x:v>
      </x:c>
    </x:row>
    <x:row r="32">
      <x:c r="A32" s="7" t="str">
        <x:v>TL trace capacitance from Z0/delay</x:v>
      </x:c>
      <x:c r="B32" s="7" t="str">
        <x:v>=(B10*1E-12/0.01)/B9*B4*1E12/1000</x:v>
      </x:c>
      <x:c r="C32" s="26" t="n">
        <x:f>(B10*1E-12/0.01)/B9*B4*1E12/1000</x:f>
        <x:v>3</x:v>
      </x:c>
      <x:c r="D32" s="7" t="str">
        <x:v>pF</x:v>
      </x:c>
      <x:c r="E32" s="7" t="str">
        <x:v>Preferred when trace has a defined return plane</x:v>
      </x:c>
    </x:row>
    <x:row r="33">
      <x:c r="A33" s="7" t="str">
        <x:v>Via inductance</x:v>
      </x:c>
      <x:c r="B33" s="7" t="str">
        <x:v>=0.2*B11*(LN(4*B11/B12)+1)</x:v>
      </x:c>
      <x:c r="C33" s="26" t="n">
        <x:f>0.2*B11*(LN(4*B11/B12)+1)</x:f>
        <x:v>1.2992866543013002</x:v>
      </x:c>
      <x:c r="D33" s="7" t="str">
        <x:v>nH</x:v>
      </x:c>
      <x:c r="E33" s="7" t="str">
        <x:v>First-pass barrel inductance</x:v>
      </x:c>
    </x:row>
    <x:row r="34">
      <x:c r="A34" s="7" t="str">
        <x:v>Via capacitance</x:v>
      </x:c>
      <x:c r="B34" s="7" t="str">
        <x:v>=0.0555*B8*B11*B13/(B14-B13)</x:v>
      </x:c>
      <x:c r="C34" s="26" t="n">
        <x:f>0.0555*B8*B11*B13/(B14-B13)</x:f>
        <x:v>0.5594399999999999</x:v>
      </x:c>
      <x:c r="D34" s="7" t="str">
        <x:v>pF</x:v>
      </x:c>
      <x:c r="E34" s="7" t="str">
        <x:v>Pad/antipad approximation</x:v>
      </x:c>
    </x:row>
    <x:row r="35">
      <x:c r="A35" s="7" t="str">
        <x:v>Plane/polygon capacitance</x:v>
      </x:c>
      <x:c r="B35" s="7" t="str">
        <x:v>=0.008854*B8*B15/B16</x:v>
      </x:c>
      <x:c r="C35" s="26" t="n">
        <x:f>0.008854*B8*B15/B16</x:f>
        <x:v>929.6700000000001</x:v>
      </x:c>
      <x:c r="D35" s="7" t="str">
        <x:v>pF</x:v>
      </x:c>
      <x:c r="E35" s="7" t="str">
        <x:v>Broadside overlap; upper bound for fringing cases</x:v>
      </x:c>
    </x:row>
    <x:row r="36">
      <x:c r="A36" s="7" t="str">
        <x:v>Plane-pair inductance</x:v>
      </x:c>
      <x:c r="B36" s="7" t="str">
        <x:v>=1.257*B16*(B17/B18)</x:v>
      </x:c>
      <x:c r="C36" s="26" t="n">
        <x:f>1.257*B16*(B17/B18)</x:f>
        <x:v>0.1257</x:v>
      </x:c>
      <x:c r="D36" s="7" t="str">
        <x:v>nH</x:v>
      </x:c>
      <x:c r="E36" s="7" t="str">
        <x:v>Parallel-plate plane pair path</x:v>
      </x:c>
    </x:row>
    <x:row r="37">
      <x:c r="A37" s="7" t="str">
        <x:v>Cable total inductance</x:v>
      </x:c>
      <x:c r="B37" s="7" t="str">
        <x:v>=B20*B19*1000</x:v>
      </x:c>
      <x:c r="C37" s="26" t="n">
        <x:f>B20*B19*1000</x:f>
        <x:v>590</x:v>
      </x:c>
      <x:c r="D37" s="7" t="str">
        <x:v>nH</x:v>
      </x:c>
      <x:c r="E37" s="7" t="str">
        <x:v>Using selected cable L/m</x:v>
      </x:c>
    </x:row>
    <x:row r="38">
      <x:c r="A38" s="7" t="str">
        <x:v>Cable total capacitance</x:v>
      </x:c>
      <x:c r="B38" s="7" t="str">
        <x:v>=B21*B19</x:v>
      </x:c>
      <x:c r="C38" s="26" t="n">
        <x:f>B21*B19</x:f>
        <x:v>89.2</x:v>
      </x:c>
      <x:c r="D38" s="7" t="str">
        <x:v>pF</x:v>
      </x:c>
      <x:c r="E38" s="7" t="str">
        <x:v>Using selected cable C/m</x:v>
      </x:c>
    </x:row>
    <x:row r="39">
      <x:c r="A39" s="7" t="str">
        <x:v>Reactance of TL trace L at test frequency</x:v>
      </x:c>
      <x:c r="B39" s="7" t="str">
        <x:v>=2*PI()*B22*1E6*C31*1E-9</x:v>
      </x:c>
      <x:c r="C39" s="26" t="n">
        <x:f>2*PI()*B22*1E6*C31*1E-9</x:f>
        <x:v>1.413716694115407</x:v>
      </x:c>
      <x:c r="D39" s="7" t="str">
        <x:v>Ω</x:v>
      </x:c>
      <x:c r="E39" s="7" t="str">
        <x:v>Shows why nH matter at EMI frequencies</x:v>
      </x:c>
    </x:row>
    <x:row r="40">
      <x:c r="A40" s="7" t="str">
        <x:v>Reactance of plane capacitance at test frequency</x:v>
      </x:c>
      <x:c r="B40" s="7" t="str">
        <x:v>=1/(2*PI()*B22*1E6*C35*1E-12)</x:v>
      </x:c>
      <x:c r="C40" s="26" t="n">
        <x:f>1/(2*PI()*B22*1E6*C35*1E-12)</x:f>
        <x:v>5.706503135230613</x:v>
      </x:c>
      <x:c r="D40" s="7" t="str">
        <x:v>Ω</x:v>
      </x:c>
      <x:c r="E40" s="7" t="str">
        <x:v>Plane capacitance is usually HF shunt only</x:v>
      </x:c>
    </x:row>
    <x:row r="41">
      <x:c r="A41" s="7" t="str">
        <x:v>Resonance of TL L with selected C</x:v>
      </x:c>
      <x:c r="B41" s="7" t="str">
        <x:v>=5033/SQRT(C31*B23)</x:v>
      </x:c>
      <x:c r="C41" s="26" t="n">
        <x:f>5033/SQRT(C31*B23)</x:f>
        <x:v>183.77917546156675</x:v>
      </x:c>
      <x:c r="D41" s="7" t="str">
        <x:v>MHz</x:v>
      </x:c>
      <x:c r="E41" s="7" t="str">
        <x:v>Use to see likely ringing band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34" hidden="0" customWidth="1"/>
  </x:cols>
  <x:sheetData>
    <x:row r="1" ht="26" customHeight="1">
      <x:c r="A1" s="12" t="str">
        <x:v>Reusable LTspice model snippets for proposed parasitics</x:v>
      </x:c>
      <x:c r="B1" t="str"/>
      <x:c r="C1" t="str"/>
      <x:c r="D1" t="str"/>
      <x:c r="E1" t="str"/>
    </x:row>
    <x:row r="2">
      <x:c r="A2" s="20" t="str">
        <x:v>Snippet_ID</x:v>
      </x:c>
      <x:c r="B2" s="20" t="str">
        <x:v>Use_case</x:v>
      </x:c>
      <x:c r="C2" s="20" t="str">
        <x:v>LTspice_snippet</x:v>
      </x:c>
      <x:c r="D2" s="20" t="str">
        <x:v>Inputs_to_replace</x:v>
      </x:c>
      <x:c r="E2" s="20" t="str">
        <x:v>Notes</x:v>
      </x:c>
    </x:row>
    <x:row r="3">
      <x:c r="A3" s="7" t="str">
        <x:v>L001</x:v>
      </x:c>
      <x:c r="B3" s="7" t="str">
        <x:v>Trace R-L-C segment</x:v>
      </x:c>
      <x:c r="C3" s="7" t="str">
        <x:v>.param Rtr=10m Ltr=5n Ctr=1p
Rtr n_in n_r {Rtr}
Ltr n_r n_l {Ltr}
Ctr n_l 0 {Ctr}</x:v>
      </x:c>
      <x:c r="D3" s="7" t="str">
        <x:v>Rtr, Ltr, Ctr</x:v>
      </x:c>
      <x:c r="E3" s="7" t="str">
        <x:v>Use for short lumped interconnect; for long lines use TLINE/ladders.</x:v>
      </x:c>
    </x:row>
    <x:row r="4">
      <x:c r="A4" s="7" t="str">
        <x:v>L002</x:v>
      </x:c>
      <x:c r="B4" s="7" t="str">
        <x:v>Decoupling capacitor with mounted ESL</x:v>
      </x:c>
      <x:c r="C4" s="7" t="str">
        <x:v>.param Cdec=100n ESR=5m ESL=0.7n
Rdec vcc n1 {ESR}
Ldec n1 n2 {ESL}
Cdec n2 0 {Cdec}</x:v>
      </x:c>
      <x:c r="D4" s="7" t="str">
        <x:v>Cdec, ESR, ESL</x:v>
      </x:c>
      <x:c r="E4" s="7" t="str">
        <x:v>Add trace/via ESL separately if capacitor is not local.</x:v>
      </x:c>
    </x:row>
    <x:row r="5">
      <x:c r="A5" s="7" t="str">
        <x:v>L003</x:v>
      </x:c>
      <x:c r="B5" s="7" t="str">
        <x:v>Coupling from SW node to quiet net</x:v>
      </x:c>
      <x:c r="C5" s="7" t="str">
        <x:v>.param Cswfb=0.5p
C_couple sw fb {Cswfb}
.step param Cswfb list 0.1p 0.5p 1p 2p 5p</x:v>
      </x:c>
      <x:c r="D5" s="7" t="str">
        <x:v>Cswfb</x:v>
      </x:c>
      <x:c r="E5" s="7" t="str">
        <x:v>Good sensitivity sweep for feedback or analog input pickup.</x:v>
      </x:c>
    </x:row>
    <x:row r="6">
      <x:c r="A6" s="7" t="str">
        <x:v>L004</x:v>
      </x:c>
      <x:c r="B6" s="7" t="str">
        <x:v>Plane pair capacitance</x:v>
      </x:c>
      <x:c r="C6" s="7" t="str">
        <x:v>.param Cplane=3.5n
Cplane vcc 0 {Cplane}</x:v>
      </x:c>
      <x:c r="D6" s="7" t="str">
        <x:v>Cplane</x:v>
      </x:c>
      <x:c r="E6" s="7" t="str">
        <x:v>Use C=εA/d; add spreading inductance for local path if needed.</x:v>
      </x:c>
    </x:row>
    <x:row r="7">
      <x:c r="A7" s="7" t="str">
        <x:v>L005</x:v>
      </x:c>
      <x:c r="B7" s="7" t="str">
        <x:v>Via inductance array</x:v>
      </x:c>
      <x:c r="C7" s="7" t="str">
        <x:v>.param Lvia=1.2n Nvia=2
Lvia v_in v_out {Lvia/Nvia}</x:v>
      </x:c>
      <x:c r="D7" s="7" t="str">
        <x:v>Lvia, Nvia</x:v>
      </x:c>
      <x:c r="E7" s="7" t="str">
        <x:v>Ideal division is optimistic; use sensitivity sweep.</x:v>
      </x:c>
    </x:row>
    <x:row r="8">
      <x:c r="A8" s="7" t="str">
        <x:v>L006</x:v>
      </x:c>
      <x:c r="B8" s="7" t="str">
        <x:v>Cable lumped π section</x:v>
      </x:c>
      <x:c r="C8" s="7" t="str">
        <x:v>.param Lc=590n Cc=89p Rc=0.023
Rc in n1 {Rc/2}
Lc n1 n2 {Lc}
Cc1 n1 0 {Cc/2}
Cc2 n2 0 {Cc/2}</x:v>
      </x:c>
      <x:c r="D8" s="7" t="str">
        <x:v>Lc, Cc, Rc</x:v>
      </x:c>
      <x:c r="E8" s="7" t="str">
        <x:v>For longer cable or high frequency use several sections or transmission line.</x:v>
      </x:c>
    </x:row>
    <x:row r="9">
      <x:c r="A9" s="7" t="str">
        <x:v>L007</x:v>
      </x:c>
      <x:c r="B9" s="7" t="str">
        <x:v>Mutual inductive pickup</x:v>
      </x:c>
      <x:c r="C9" s="7" t="str">
        <x:v>Lagg a1 a2 10n
Lvictim v1 v2 10n
K1 Lagg Lvictim 0.05</x:v>
      </x:c>
      <x:c r="D9" s="7" t="str">
        <x:v>L values, coupling k</x:v>
      </x:c>
      <x:c r="E9" s="7" t="str">
        <x:v>Sweep k if geometry unknown.</x:v>
      </x:c>
    </x:row>
    <x:row r="10">
      <x:c r="A10" s="7" t="str">
        <x:v>L008</x:v>
      </x:c>
      <x:c r="B10" s="7" t="str">
        <x:v>Generic EMI filter cap with return inductance</x:v>
      </x:c>
      <x:c r="C10" s="7" t="str">
        <x:v>.param Cy=2.2n ESL=1n Lret=5n ESR=50m
Ry line n1 {ESR}
Ly n1 n2 {ESL}
Cy n2 n3 {Cy}
Lret n3 chassis {Lret}</x:v>
      </x:c>
      <x:c r="D10" s="7" t="str">
        <x:v>Cy, ESL, Lret</x:v>
      </x:c>
      <x:c r="E10" s="7" t="str">
        <x:v>Shows why chassis/return geometry matters.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9e3d86f8cae4a15"/>
  </x:tableParts>
</x:worksheet>
</file>